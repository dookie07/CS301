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maitecalderon/Library/CloudStorage/GoogleDrive-nc535@njit.edu/My Drive/NJIT/spring2025/cs301/hw/"/>
    </mc:Choice>
  </mc:AlternateContent>
  <xr:revisionPtr revIDLastSave="0" documentId="8_{679A99E3-81F7-3842-AD99-0CC9951EAFA0}" xr6:coauthVersionLast="47" xr6:coauthVersionMax="47" xr10:uidLastSave="{00000000-0000-0000-0000-000000000000}"/>
  <bookViews>
    <workbookView xWindow="0" yWindow="740" windowWidth="30240" windowHeight="18900" activeTab="1" xr2:uid="{04B5F2F7-A9F2-BE48-A26D-51E2BC69D70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5" i="1"/>
  <c r="H8" i="1"/>
  <c r="I4" i="2"/>
  <c r="L4" i="2"/>
  <c r="B27" i="1"/>
  <c r="J7" i="1"/>
  <c r="K6" i="1"/>
  <c r="M5" i="1"/>
  <c r="K12" i="1"/>
  <c r="J9" i="1"/>
  <c r="J5" i="1"/>
  <c r="I5" i="1"/>
  <c r="H5" i="1"/>
  <c r="D22" i="1"/>
  <c r="J4" i="2"/>
  <c r="K4" i="2"/>
  <c r="B4" i="2"/>
  <c r="G14" i="2"/>
  <c r="G5" i="2"/>
  <c r="G6" i="2"/>
  <c r="G7" i="2"/>
  <c r="G8" i="2"/>
  <c r="G9" i="2"/>
  <c r="G10" i="2"/>
  <c r="G11" i="2"/>
  <c r="G12" i="2"/>
  <c r="G13" i="2"/>
  <c r="F14" i="2"/>
  <c r="F5" i="2"/>
  <c r="F6" i="2"/>
  <c r="F7" i="2"/>
  <c r="F8" i="2"/>
  <c r="F9" i="2"/>
  <c r="F10" i="2"/>
  <c r="F11" i="2"/>
  <c r="F12" i="2"/>
  <c r="F13" i="2"/>
  <c r="F4" i="2"/>
  <c r="G4" i="2"/>
  <c r="E14" i="2"/>
  <c r="D14" i="2"/>
  <c r="C14" i="2"/>
  <c r="E5" i="2"/>
  <c r="E6" i="2"/>
  <c r="E7" i="2"/>
  <c r="E8" i="2"/>
  <c r="E9" i="2"/>
  <c r="E10" i="2"/>
  <c r="E11" i="2"/>
  <c r="E12" i="2"/>
  <c r="E13" i="2"/>
  <c r="E4" i="2"/>
  <c r="B22" i="1"/>
  <c r="D16" i="1"/>
  <c r="C16" i="1"/>
  <c r="A5" i="1"/>
  <c r="E6" i="1"/>
  <c r="E7" i="1"/>
  <c r="E8" i="1"/>
  <c r="E9" i="1"/>
  <c r="E10" i="1"/>
  <c r="E11" i="1"/>
  <c r="E12" i="1"/>
  <c r="E13" i="1"/>
  <c r="E14" i="1"/>
  <c r="E15" i="1"/>
  <c r="E5" i="1"/>
  <c r="B16" i="1"/>
  <c r="D6" i="1"/>
  <c r="D7" i="1"/>
  <c r="D8" i="1"/>
  <c r="D9" i="1"/>
  <c r="D10" i="1"/>
  <c r="D11" i="1"/>
  <c r="D12" i="1"/>
  <c r="D13" i="1"/>
  <c r="D14" i="1"/>
  <c r="D15" i="1"/>
  <c r="D5" i="1"/>
  <c r="E16" i="1"/>
  <c r="F5" i="1"/>
  <c r="G5" i="1"/>
  <c r="H6" i="1"/>
  <c r="H10" i="1"/>
  <c r="H11" i="1"/>
  <c r="H13" i="1"/>
  <c r="H7" i="1"/>
  <c r="K9" i="1"/>
  <c r="H9" i="1"/>
  <c r="H14" i="1"/>
  <c r="H12" i="1"/>
  <c r="H15" i="1"/>
  <c r="B24" i="1"/>
  <c r="J13" i="1"/>
  <c r="K13" i="1"/>
  <c r="J6" i="1"/>
  <c r="J11" i="1"/>
  <c r="K11" i="1"/>
  <c r="J10" i="1"/>
  <c r="K10" i="1"/>
  <c r="J12" i="1"/>
  <c r="J14" i="1"/>
  <c r="K14" i="1"/>
  <c r="J8" i="1"/>
  <c r="J15" i="1"/>
  <c r="K15" i="1"/>
  <c r="H16" i="1"/>
  <c r="J16" i="1"/>
  <c r="K8" i="1"/>
  <c r="K16" i="1"/>
  <c r="L5" i="1"/>
  <c r="B25" i="1"/>
  <c r="B26" i="1"/>
  <c r="C25" i="1"/>
</calcChain>
</file>

<file path=xl/sharedStrings.xml><?xml version="1.0" encoding="utf-8"?>
<sst xmlns="http://schemas.openxmlformats.org/spreadsheetml/2006/main" count="35" uniqueCount="34">
  <si>
    <t>Question 1:</t>
  </si>
  <si>
    <t>Best Fitted line y=mx+b</t>
  </si>
  <si>
    <t>Nitrogen (X)</t>
  </si>
  <si>
    <t>Yield (Y)</t>
  </si>
  <si>
    <t>X*Y</t>
  </si>
  <si>
    <t>X^2</t>
  </si>
  <si>
    <t>slope</t>
  </si>
  <si>
    <t>y intercept</t>
  </si>
  <si>
    <t>mean Y</t>
  </si>
  <si>
    <t>mean X</t>
  </si>
  <si>
    <t>variance mean</t>
  </si>
  <si>
    <t>sum of squared residuals (mean)</t>
  </si>
  <si>
    <t>sum of squared residuals (fit)</t>
  </si>
  <si>
    <t>Predicted Y</t>
  </si>
  <si>
    <t>variance fit</t>
  </si>
  <si>
    <t>R squared</t>
  </si>
  <si>
    <t>F value</t>
  </si>
  <si>
    <t>p fit</t>
  </si>
  <si>
    <t>p mean</t>
  </si>
  <si>
    <t>Number of observations</t>
  </si>
  <si>
    <t>Expected Yield if x=50</t>
  </si>
  <si>
    <t>Question 2:</t>
  </si>
  <si>
    <t>Number of Observations</t>
  </si>
  <si>
    <t>Math - x</t>
  </si>
  <si>
    <t xml:space="preserve">DS- Y </t>
  </si>
  <si>
    <t>XY</t>
  </si>
  <si>
    <t>Y^2</t>
  </si>
  <si>
    <t>Coefficient of Correlation</t>
  </si>
  <si>
    <t>numerator</t>
  </si>
  <si>
    <t>denominator</t>
  </si>
  <si>
    <t>sqr</t>
  </si>
  <si>
    <t>CONCLUSION:</t>
  </si>
  <si>
    <t>Since the coefficient of relation is 0.71, it indicates us that the correlation is medium strong, as it is getting closer to 1, it becomes stronger.</t>
  </si>
  <si>
    <t>Nathaly Kos - 301 Module 4 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</si>
</sst>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sz val="12"/>
      <color theme="8"/>
      <name val="Aptos Narrow (Body)"/>
    </font>
    <font>
      <sz val="12"/>
      <color theme="1"/>
      <name val="Aptos Narrow"/>
      <scheme val="minor"/>
    </font>
    <font>
      <sz val="12"/>
      <color theme="1"/>
      <name val="Aptos Narrow (Body)"/>
    </font>
    <font>
      <sz val="12"/>
      <color theme="0"/>
      <name val="Aptos Narrow"/>
      <family val="2"/>
      <scheme val="minor"/>
    </font>
    <font>
      <b/>
      <sz val="12"/>
      <color theme="8" tint="-0.249977111117893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i/>
      <sz val="12"/>
      <color rgb="FF000000"/>
      <name val="Aptos Narrow"/>
      <scheme val="minor"/>
    </font>
    <font>
      <b/>
      <sz val="15"/>
      <color theme="1"/>
      <name val="Aptos Narrow"/>
      <scheme val="minor"/>
    </font>
    <font>
      <sz val="15"/>
      <color theme="1"/>
      <name val="Aptos Narrow (Body)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NumberFormat="1" applyFont="1"/>
    <xf numFmtId="0" fontId="0" fillId="0" borderId="0" xfId="1" applyNumberFormat="1" applyFont="1"/>
    <xf numFmtId="0" fontId="3" fillId="0" borderId="0" xfId="1" applyNumberFormat="1" applyFont="1"/>
    <xf numFmtId="0" fontId="5" fillId="0" borderId="0" xfId="1" applyNumberFormat="1" applyFont="1"/>
    <xf numFmtId="0" fontId="6" fillId="0" borderId="0" xfId="1" applyNumberFormat="1" applyFont="1"/>
    <xf numFmtId="0" fontId="2" fillId="2" borderId="0" xfId="1" applyNumberFormat="1" applyFont="1" applyFill="1"/>
    <xf numFmtId="0" fontId="2" fillId="0" borderId="0" xfId="1" applyNumberFormat="1" applyFont="1" applyFill="1"/>
    <xf numFmtId="0" fontId="4" fillId="0" borderId="0" xfId="1" applyNumberFormat="1" applyFont="1"/>
    <xf numFmtId="2" fontId="2" fillId="0" borderId="0" xfId="1" applyNumberFormat="1" applyFont="1"/>
    <xf numFmtId="2" fontId="0" fillId="0" borderId="0" xfId="1" applyNumberFormat="1" applyFont="1"/>
    <xf numFmtId="2" fontId="8" fillId="0" borderId="0" xfId="1" applyNumberFormat="1" applyFont="1"/>
    <xf numFmtId="0" fontId="2" fillId="3" borderId="0" xfId="1" applyNumberFormat="1" applyFont="1" applyFill="1"/>
    <xf numFmtId="2" fontId="2" fillId="3" borderId="0" xfId="1" applyNumberFormat="1" applyFont="1" applyFill="1"/>
    <xf numFmtId="2" fontId="0" fillId="0" borderId="0" xfId="1" applyNumberFormat="1" applyFont="1" applyFill="1"/>
    <xf numFmtId="2" fontId="7" fillId="0" borderId="0" xfId="1" applyNumberFormat="1" applyFont="1" applyFill="1"/>
    <xf numFmtId="2" fontId="2" fillId="0" borderId="2" xfId="1" applyNumberFormat="1" applyFont="1" applyBorder="1" applyAlignment="1">
      <alignment horizontal="left"/>
    </xf>
    <xf numFmtId="2" fontId="0" fillId="0" borderId="0" xfId="1" applyNumberFormat="1" applyFont="1" applyBorder="1" applyAlignment="1">
      <alignment horizontal="left"/>
    </xf>
    <xf numFmtId="2" fontId="2" fillId="0" borderId="4" xfId="1" applyNumberFormat="1" applyFont="1" applyBorder="1" applyAlignment="1">
      <alignment horizontal="left"/>
    </xf>
    <xf numFmtId="2" fontId="2" fillId="0" borderId="5" xfId="1" applyNumberFormat="1" applyFont="1" applyBorder="1" applyAlignment="1">
      <alignment horizontal="left"/>
    </xf>
    <xf numFmtId="2" fontId="2" fillId="4" borderId="1" xfId="1" applyNumberFormat="1" applyFont="1" applyFill="1" applyBorder="1"/>
    <xf numFmtId="2" fontId="2" fillId="4" borderId="3" xfId="1" applyNumberFormat="1" applyFont="1" applyFill="1" applyBorder="1"/>
    <xf numFmtId="0" fontId="2" fillId="0" borderId="0" xfId="1" applyNumberFormat="1" applyFont="1" applyAlignment="1">
      <alignment horizontal="center"/>
    </xf>
    <xf numFmtId="2" fontId="2" fillId="0" borderId="4" xfId="1" applyNumberFormat="1" applyFont="1" applyBorder="1"/>
    <xf numFmtId="2" fontId="2" fillId="4" borderId="4" xfId="1" applyNumberFormat="1" applyFont="1" applyFill="1" applyBorder="1"/>
    <xf numFmtId="0" fontId="2" fillId="0" borderId="4" xfId="1" applyNumberFormat="1" applyFont="1" applyBorder="1"/>
    <xf numFmtId="2" fontId="9" fillId="0" borderId="0" xfId="0" applyNumberFormat="1" applyFont="1"/>
    <xf numFmtId="2" fontId="10" fillId="0" borderId="0" xfId="0" applyNumberFormat="1" applyFont="1"/>
    <xf numFmtId="0" fontId="11" fillId="0" borderId="0" xfId="0" applyFont="1"/>
    <xf numFmtId="0" fontId="2" fillId="0" borderId="0" xfId="0" applyFont="1"/>
    <xf numFmtId="0" fontId="2" fillId="3" borderId="0" xfId="0" applyFont="1" applyFill="1"/>
    <xf numFmtId="0" fontId="0" fillId="3" borderId="0" xfId="0" applyFill="1"/>
    <xf numFmtId="0" fontId="12" fillId="4" borderId="0" xfId="0" applyFont="1" applyFill="1"/>
    <xf numFmtId="0" fontId="13" fillId="0" borderId="0" xfId="0" applyFont="1"/>
    <xf numFmtId="0" fontId="5" fillId="5" borderId="0" xfId="1" applyNumberFormat="1" applyFont="1" applyFill="1"/>
    <xf numFmtId="0" fontId="0" fillId="5" borderId="0" xfId="1" applyNumberFormat="1" applyFont="1" applyFill="1"/>
    <xf numFmtId="2" fontId="1" fillId="5" borderId="0" xfId="1" applyNumberFormat="1" applyFont="1" applyFill="1"/>
    <xf numFmtId="2" fontId="0" fillId="5" borderId="0" xfId="1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9A4EA-9939-AC4A-869F-30448FBFF084}">
  <dimension ref="A1:O31"/>
  <sheetViews>
    <sheetView zoomScale="110" workbookViewId="0">
      <selection activeCell="L5" sqref="L5"/>
    </sheetView>
  </sheetViews>
  <sheetFormatPr baseColWidth="10" defaultColWidth="10.83203125" defaultRowHeight="16" x14ac:dyDescent="0.2"/>
  <cols>
    <col min="1" max="1" width="31" style="10" customWidth="1"/>
    <col min="2" max="2" width="47.83203125" style="10" customWidth="1"/>
    <col min="3" max="3" width="24.83203125" style="10" customWidth="1"/>
    <col min="4" max="4" width="12.5" style="10" bestFit="1" customWidth="1"/>
    <col min="5" max="5" width="11.5" style="10" bestFit="1" customWidth="1"/>
    <col min="6" max="7" width="11.1640625" style="10" bestFit="1" customWidth="1"/>
    <col min="8" max="8" width="30.83203125" style="10" customWidth="1"/>
    <col min="9" max="9" width="16.5" style="10" customWidth="1"/>
    <col min="10" max="10" width="26.83203125" style="10" customWidth="1"/>
    <col min="11" max="11" width="27.6640625" style="10" customWidth="1"/>
    <col min="12" max="14" width="10.83203125" style="10"/>
    <col min="15" max="15" width="24.1640625" style="10" customWidth="1"/>
    <col min="16" max="16384" width="10.83203125" style="10"/>
  </cols>
  <sheetData>
    <row r="1" spans="1:15" x14ac:dyDescent="0.2">
      <c r="A1" s="9" t="s">
        <v>33</v>
      </c>
    </row>
    <row r="3" spans="1:15" x14ac:dyDescent="0.2">
      <c r="A3" s="3" t="s">
        <v>0</v>
      </c>
      <c r="B3" s="2"/>
      <c r="C3" s="2"/>
      <c r="D3" s="2"/>
      <c r="E3" s="2"/>
      <c r="F3" s="2"/>
      <c r="G3" s="2"/>
      <c r="H3" s="2"/>
    </row>
    <row r="4" spans="1:15" x14ac:dyDescent="0.2">
      <c r="A4" s="22" t="s">
        <v>19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8</v>
      </c>
      <c r="G4" s="1" t="s">
        <v>9</v>
      </c>
      <c r="H4" s="8" t="s">
        <v>11</v>
      </c>
      <c r="I4" s="11" t="s">
        <v>10</v>
      </c>
      <c r="J4" s="8" t="s">
        <v>13</v>
      </c>
      <c r="K4" s="8" t="s">
        <v>12</v>
      </c>
      <c r="L4" s="11" t="s">
        <v>14</v>
      </c>
      <c r="M4" s="9" t="s">
        <v>17</v>
      </c>
      <c r="N4" s="9" t="s">
        <v>18</v>
      </c>
      <c r="O4" s="9"/>
    </row>
    <row r="5" spans="1:15" x14ac:dyDescent="0.2">
      <c r="A5" s="2">
        <f>COUNT(B5:B15)</f>
        <v>11</v>
      </c>
      <c r="B5" s="4">
        <v>0</v>
      </c>
      <c r="C5" s="2">
        <v>41</v>
      </c>
      <c r="D5" s="2">
        <f>B5*C5</f>
        <v>0</v>
      </c>
      <c r="E5" s="2">
        <f>B5^2</f>
        <v>0</v>
      </c>
      <c r="F5" s="34">
        <f>C16/A5</f>
        <v>324.45454545454544</v>
      </c>
      <c r="G5" s="35">
        <f>B16/A5</f>
        <v>45.454545454545453</v>
      </c>
      <c r="H5" s="2">
        <f>(C5-F5)^2</f>
        <v>80346.479338842968</v>
      </c>
      <c r="I5" s="36">
        <f>H16/A5</f>
        <v>38202.429752066113</v>
      </c>
      <c r="J5" s="10">
        <f>(B22*B5)+D22</f>
        <v>57.548387096774206</v>
      </c>
      <c r="K5" s="10">
        <f>(C5-J5)^2</f>
        <v>273.84911550468303</v>
      </c>
      <c r="L5" s="37">
        <f>K16/A5</f>
        <v>2867.9366568914961</v>
      </c>
      <c r="M5" s="10">
        <f>COUNT(B22,D22)</f>
        <v>2</v>
      </c>
      <c r="N5" s="10">
        <v>1</v>
      </c>
    </row>
    <row r="6" spans="1:15" x14ac:dyDescent="0.2">
      <c r="A6" s="2"/>
      <c r="B6" s="2">
        <v>0</v>
      </c>
      <c r="C6" s="2">
        <v>54</v>
      </c>
      <c r="D6" s="2">
        <f t="shared" ref="D6:D15" si="0">B6*C6</f>
        <v>0</v>
      </c>
      <c r="E6" s="2">
        <f t="shared" ref="E6:E15" si="1">B6^2</f>
        <v>0</v>
      </c>
      <c r="F6" s="2"/>
      <c r="G6" s="2"/>
      <c r="H6" s="2">
        <f>(C6-F5)^2</f>
        <v>73145.661157024791</v>
      </c>
      <c r="J6" s="10">
        <f>(B22*B6)+D22</f>
        <v>57.548387096774206</v>
      </c>
      <c r="K6" s="10">
        <f>(C6-J6)^2</f>
        <v>12.591050988553681</v>
      </c>
    </row>
    <row r="7" spans="1:15" x14ac:dyDescent="0.2">
      <c r="A7" s="2"/>
      <c r="B7" s="5">
        <v>20</v>
      </c>
      <c r="C7" s="2">
        <v>127</v>
      </c>
      <c r="D7" s="2">
        <f t="shared" si="0"/>
        <v>2540</v>
      </c>
      <c r="E7" s="2">
        <f t="shared" si="1"/>
        <v>400</v>
      </c>
      <c r="F7" s="2"/>
      <c r="G7" s="2"/>
      <c r="H7" s="2">
        <f>(C7-F5)^2</f>
        <v>38988.297520661152</v>
      </c>
      <c r="J7" s="10">
        <f>(B22*B7)+D22</f>
        <v>174.98709677419356</v>
      </c>
      <c r="K7" s="10">
        <f>(C7-J7)^2</f>
        <v>2302.7614568158178</v>
      </c>
    </row>
    <row r="8" spans="1:15" x14ac:dyDescent="0.2">
      <c r="A8" s="2"/>
      <c r="B8" s="2">
        <v>20</v>
      </c>
      <c r="C8" s="2">
        <v>149</v>
      </c>
      <c r="D8" s="2">
        <f t="shared" si="0"/>
        <v>2980</v>
      </c>
      <c r="E8" s="2">
        <f t="shared" si="1"/>
        <v>400</v>
      </c>
      <c r="F8" s="2"/>
      <c r="G8" s="2"/>
      <c r="H8" s="2">
        <f>(C8-F5)^2</f>
        <v>30784.297520661152</v>
      </c>
      <c r="J8" s="10">
        <f>(B22*B8)+D22</f>
        <v>174.98709677419356</v>
      </c>
      <c r="K8" s="10">
        <f t="shared" ref="K8:K15" si="2">(C8-J8)^2</f>
        <v>675.32919875130131</v>
      </c>
    </row>
    <row r="9" spans="1:15" x14ac:dyDescent="0.2">
      <c r="A9" s="2"/>
      <c r="B9" s="2">
        <v>40</v>
      </c>
      <c r="C9" s="2">
        <v>348</v>
      </c>
      <c r="D9" s="2">
        <f t="shared" si="0"/>
        <v>13920</v>
      </c>
      <c r="E9" s="2">
        <f t="shared" si="1"/>
        <v>1600</v>
      </c>
      <c r="F9" s="2"/>
      <c r="G9" s="2"/>
      <c r="H9" s="2">
        <f>(C9-F5)^2</f>
        <v>554.38842975206683</v>
      </c>
      <c r="J9" s="10">
        <f>(B22*B9)+D22</f>
        <v>292.42580645161291</v>
      </c>
      <c r="K9" s="10">
        <f t="shared" si="2"/>
        <v>3088.490988553589</v>
      </c>
    </row>
    <row r="10" spans="1:15" x14ac:dyDescent="0.2">
      <c r="A10" s="2"/>
      <c r="B10" s="2">
        <v>40</v>
      </c>
      <c r="C10" s="2">
        <v>299</v>
      </c>
      <c r="D10" s="2">
        <f t="shared" si="0"/>
        <v>11960</v>
      </c>
      <c r="E10" s="2">
        <f t="shared" si="1"/>
        <v>1600</v>
      </c>
      <c r="F10" s="2"/>
      <c r="G10" s="2"/>
      <c r="H10" s="2">
        <f>(C10-F5)^2</f>
        <v>647.93388429751985</v>
      </c>
      <c r="J10" s="10">
        <f>(B22*B10)+D22</f>
        <v>292.42580645161291</v>
      </c>
      <c r="K10" s="10">
        <f t="shared" si="2"/>
        <v>43.220020811654386</v>
      </c>
    </row>
    <row r="11" spans="1:15" x14ac:dyDescent="0.2">
      <c r="A11" s="2"/>
      <c r="B11" s="2">
        <v>60</v>
      </c>
      <c r="C11" s="2">
        <v>419</v>
      </c>
      <c r="D11" s="2">
        <f t="shared" si="0"/>
        <v>25140</v>
      </c>
      <c r="E11" s="2">
        <f t="shared" si="1"/>
        <v>3600</v>
      </c>
      <c r="F11" s="2"/>
      <c r="G11" s="2"/>
      <c r="H11" s="2">
        <f>(C11-F5)^2</f>
        <v>8938.8429752066149</v>
      </c>
      <c r="J11" s="10">
        <f>(B22*B11)+D22</f>
        <v>409.86451612903227</v>
      </c>
      <c r="K11" s="10">
        <f t="shared" si="2"/>
        <v>83.457065556711584</v>
      </c>
    </row>
    <row r="12" spans="1:15" x14ac:dyDescent="0.2">
      <c r="A12" s="2"/>
      <c r="B12" s="2">
        <v>60</v>
      </c>
      <c r="C12" s="2">
        <v>483</v>
      </c>
      <c r="D12" s="2">
        <f t="shared" si="0"/>
        <v>28980</v>
      </c>
      <c r="E12" s="2">
        <f t="shared" si="1"/>
        <v>3600</v>
      </c>
      <c r="F12" s="2"/>
      <c r="G12" s="2"/>
      <c r="H12" s="2">
        <f>(C12-F5)^2</f>
        <v>25136.661157024799</v>
      </c>
      <c r="J12" s="10">
        <f>(B22*B12)+D22</f>
        <v>409.86451612903227</v>
      </c>
      <c r="K12" s="10">
        <f>(C12-J12)^2</f>
        <v>5348.7990010405811</v>
      </c>
    </row>
    <row r="13" spans="1:15" x14ac:dyDescent="0.2">
      <c r="A13" s="2"/>
      <c r="B13" s="2">
        <v>80</v>
      </c>
      <c r="C13" s="2">
        <v>481</v>
      </c>
      <c r="D13" s="2">
        <f t="shared" si="0"/>
        <v>38480</v>
      </c>
      <c r="E13" s="2">
        <f t="shared" si="1"/>
        <v>6400</v>
      </c>
      <c r="F13" s="2"/>
      <c r="G13" s="2"/>
      <c r="H13" s="2">
        <f>(C13-F5)^2</f>
        <v>24506.479338842979</v>
      </c>
      <c r="J13" s="10">
        <f>(B22*B13)+D22</f>
        <v>527.30322580645156</v>
      </c>
      <c r="K13" s="10">
        <f t="shared" si="2"/>
        <v>2143.9887200832422</v>
      </c>
    </row>
    <row r="14" spans="1:15" x14ac:dyDescent="0.2">
      <c r="A14" s="2"/>
      <c r="B14" s="2">
        <v>80</v>
      </c>
      <c r="C14" s="2">
        <v>619</v>
      </c>
      <c r="D14" s="2">
        <f t="shared" si="0"/>
        <v>49520</v>
      </c>
      <c r="E14" s="2">
        <f t="shared" si="1"/>
        <v>6400</v>
      </c>
      <c r="F14" s="2"/>
      <c r="G14" s="2"/>
      <c r="H14" s="2">
        <f>(C14-F5)^2</f>
        <v>86757.024793388438</v>
      </c>
      <c r="J14" s="10">
        <f>(B22*B14)+D22</f>
        <v>527.30322580645156</v>
      </c>
      <c r="K14" s="10">
        <f t="shared" si="2"/>
        <v>8408.2983975026109</v>
      </c>
    </row>
    <row r="15" spans="1:15" x14ac:dyDescent="0.2">
      <c r="A15" s="2"/>
      <c r="B15" s="2">
        <v>100</v>
      </c>
      <c r="C15" s="2">
        <v>549</v>
      </c>
      <c r="D15" s="2">
        <f t="shared" si="0"/>
        <v>54900</v>
      </c>
      <c r="E15" s="2">
        <f t="shared" si="1"/>
        <v>10000</v>
      </c>
      <c r="F15" s="2"/>
      <c r="G15" s="2"/>
      <c r="H15" s="2">
        <f>(C15-F5)^2</f>
        <v>50420.661157024799</v>
      </c>
      <c r="J15" s="10">
        <f>(B22*B15)+D22</f>
        <v>644.74193548387098</v>
      </c>
      <c r="K15" s="10">
        <f t="shared" si="2"/>
        <v>9166.5182101977116</v>
      </c>
    </row>
    <row r="16" spans="1:15" x14ac:dyDescent="0.2">
      <c r="A16" s="1"/>
      <c r="B16" s="6">
        <f>SUM(B5:B15)</f>
        <v>500</v>
      </c>
      <c r="C16" s="6">
        <f>SUM(C5:C15)</f>
        <v>3569</v>
      </c>
      <c r="D16" s="6">
        <f>SUM(D5:D15)</f>
        <v>228420</v>
      </c>
      <c r="E16" s="6">
        <f>SUM(E5:E15)</f>
        <v>34000</v>
      </c>
      <c r="F16" s="2"/>
      <c r="G16" s="7"/>
      <c r="H16" s="12">
        <f>SUM(H5:H15)</f>
        <v>420226.72727272724</v>
      </c>
      <c r="J16" s="10">
        <f>SUM(J5:J15)</f>
        <v>3569</v>
      </c>
      <c r="K16" s="13">
        <f>SUM(K5:K15)</f>
        <v>31547.303225806456</v>
      </c>
    </row>
    <row r="22" spans="1:4" x14ac:dyDescent="0.2">
      <c r="A22" s="24" t="s">
        <v>6</v>
      </c>
      <c r="B22" s="25">
        <f>((A5*D16) - (B16*C16))/((A5*E16) -( B16)^2)</f>
        <v>5.8719354838709679</v>
      </c>
      <c r="C22" s="24" t="s">
        <v>7</v>
      </c>
      <c r="D22" s="23">
        <f>F5-(B22*G5)</f>
        <v>57.548387096774206</v>
      </c>
    </row>
    <row r="23" spans="1:4" ht="17" thickBot="1" x14ac:dyDescent="0.25"/>
    <row r="24" spans="1:4" ht="17" thickBot="1" x14ac:dyDescent="0.25">
      <c r="A24" s="20" t="s">
        <v>1</v>
      </c>
      <c r="B24" s="19" t="str">
        <f xml:space="preserve"> "y = " &amp; B22 &amp; " x +  " &amp; D22</f>
        <v>y = 5.87193548387097 x +  57.5483870967742</v>
      </c>
      <c r="C24" s="17"/>
    </row>
    <row r="25" spans="1:4" ht="17" thickBot="1" x14ac:dyDescent="0.25">
      <c r="A25" s="21" t="s">
        <v>15</v>
      </c>
      <c r="B25" s="16">
        <f>(I5-L5)/I5</f>
        <v>0.92492789920681961</v>
      </c>
      <c r="C25" s="18" t="str">
        <f xml:space="preserve"> " ---&gt; " &amp; (B25*100 ) &amp; " %"</f>
        <v xml:space="preserve"> ---&gt; 92.492789920682 %</v>
      </c>
    </row>
    <row r="26" spans="1:4" ht="17" thickBot="1" x14ac:dyDescent="0.25">
      <c r="A26" s="20" t="s">
        <v>16</v>
      </c>
      <c r="B26" s="19">
        <f>((H16-K16)/(M5-N5)) / (K16/(A5-M5))</f>
        <v>110.88474952625252</v>
      </c>
      <c r="C26" s="17"/>
    </row>
    <row r="27" spans="1:4" ht="17" thickBot="1" x14ac:dyDescent="0.25">
      <c r="A27" s="20" t="s">
        <v>20</v>
      </c>
      <c r="B27" s="19">
        <f>(B22*50)+D22</f>
        <v>351.14516129032262</v>
      </c>
    </row>
    <row r="28" spans="1:4" x14ac:dyDescent="0.2">
      <c r="A28" s="15"/>
    </row>
    <row r="29" spans="1:4" x14ac:dyDescent="0.2">
      <c r="A29" s="14"/>
    </row>
    <row r="30" spans="1:4" x14ac:dyDescent="0.2">
      <c r="A30" s="14"/>
    </row>
    <row r="31" spans="1:4" x14ac:dyDescent="0.2">
      <c r="A31" s="14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B746-4889-FA40-B874-F1B3004B048C}">
  <dimension ref="A1:L17"/>
  <sheetViews>
    <sheetView tabSelected="1" zoomScale="134" workbookViewId="0"/>
  </sheetViews>
  <sheetFormatPr baseColWidth="10" defaultColWidth="10.83203125" defaultRowHeight="16" x14ac:dyDescent="0.2"/>
  <cols>
    <col min="1" max="1" width="32.83203125" customWidth="1"/>
    <col min="2" max="2" width="20.5" customWidth="1"/>
    <col min="9" max="9" width="29.6640625" customWidth="1"/>
    <col min="10" max="10" width="11.6640625" bestFit="1" customWidth="1"/>
    <col min="12" max="12" width="33.83203125" customWidth="1"/>
  </cols>
  <sheetData>
    <row r="1" spans="1:12" x14ac:dyDescent="0.2">
      <c r="A1" s="26"/>
    </row>
    <row r="2" spans="1:12" x14ac:dyDescent="0.2">
      <c r="A2" s="27"/>
    </row>
    <row r="3" spans="1:12" x14ac:dyDescent="0.2">
      <c r="A3" s="28" t="s">
        <v>21</v>
      </c>
      <c r="B3" s="29" t="s">
        <v>22</v>
      </c>
      <c r="C3" s="29" t="s">
        <v>23</v>
      </c>
      <c r="D3" s="29" t="s">
        <v>24</v>
      </c>
      <c r="E3" s="29" t="s">
        <v>25</v>
      </c>
      <c r="F3" s="29" t="s">
        <v>5</v>
      </c>
      <c r="G3" s="29" t="s">
        <v>26</v>
      </c>
      <c r="I3" s="29" t="s">
        <v>28</v>
      </c>
      <c r="J3" s="29" t="s">
        <v>29</v>
      </c>
      <c r="K3" s="29" t="s">
        <v>30</v>
      </c>
      <c r="L3" s="29" t="s">
        <v>27</v>
      </c>
    </row>
    <row r="4" spans="1:12" x14ac:dyDescent="0.2">
      <c r="B4">
        <f>COUNT(C4:C13)</f>
        <v>10</v>
      </c>
      <c r="C4">
        <v>20</v>
      </c>
      <c r="D4">
        <v>30</v>
      </c>
      <c r="E4">
        <f>C4*D4</f>
        <v>600</v>
      </c>
      <c r="F4">
        <f>C4^2</f>
        <v>400</v>
      </c>
      <c r="G4">
        <f>D4^2</f>
        <v>900</v>
      </c>
      <c r="I4">
        <f>((B4*E14)-(C14*D14))</f>
        <v>2130</v>
      </c>
      <c r="J4">
        <f>((B4*F14) - (C14)^2) * ((B4*G14) - (D14)^2)</f>
        <v>9000000</v>
      </c>
      <c r="K4">
        <f>SQRT(J4)</f>
        <v>3000</v>
      </c>
      <c r="L4" s="31">
        <f>I4/K4</f>
        <v>0.71</v>
      </c>
    </row>
    <row r="5" spans="1:12" x14ac:dyDescent="0.2">
      <c r="C5">
        <v>23</v>
      </c>
      <c r="D5">
        <v>35</v>
      </c>
      <c r="E5">
        <f t="shared" ref="E5:E13" si="0">C5*D5</f>
        <v>805</v>
      </c>
      <c r="F5">
        <f t="shared" ref="F5:F13" si="1">C5^2</f>
        <v>529</v>
      </c>
      <c r="G5">
        <f t="shared" ref="G5:G13" si="2">D5^2</f>
        <v>1225</v>
      </c>
    </row>
    <row r="6" spans="1:12" x14ac:dyDescent="0.2">
      <c r="C6">
        <v>8</v>
      </c>
      <c r="D6">
        <v>21</v>
      </c>
      <c r="E6">
        <f t="shared" si="0"/>
        <v>168</v>
      </c>
      <c r="F6">
        <f t="shared" si="1"/>
        <v>64</v>
      </c>
      <c r="G6">
        <f t="shared" si="2"/>
        <v>441</v>
      </c>
    </row>
    <row r="7" spans="1:12" x14ac:dyDescent="0.2">
      <c r="C7">
        <v>29</v>
      </c>
      <c r="D7">
        <v>33</v>
      </c>
      <c r="E7">
        <f t="shared" si="0"/>
        <v>957</v>
      </c>
      <c r="F7">
        <f t="shared" si="1"/>
        <v>841</v>
      </c>
      <c r="G7">
        <f t="shared" si="2"/>
        <v>1089</v>
      </c>
    </row>
    <row r="8" spans="1:12" x14ac:dyDescent="0.2">
      <c r="C8">
        <v>14</v>
      </c>
      <c r="D8">
        <v>33</v>
      </c>
      <c r="E8">
        <f t="shared" si="0"/>
        <v>462</v>
      </c>
      <c r="F8">
        <f t="shared" si="1"/>
        <v>196</v>
      </c>
      <c r="G8">
        <f t="shared" si="2"/>
        <v>1089</v>
      </c>
    </row>
    <row r="9" spans="1:12" x14ac:dyDescent="0.2">
      <c r="C9">
        <v>11</v>
      </c>
      <c r="D9">
        <v>26</v>
      </c>
      <c r="E9">
        <f t="shared" si="0"/>
        <v>286</v>
      </c>
      <c r="F9">
        <f t="shared" si="1"/>
        <v>121</v>
      </c>
      <c r="G9">
        <f t="shared" si="2"/>
        <v>676</v>
      </c>
    </row>
    <row r="10" spans="1:12" x14ac:dyDescent="0.2">
      <c r="C10">
        <v>11</v>
      </c>
      <c r="D10">
        <v>22</v>
      </c>
      <c r="E10">
        <f t="shared" si="0"/>
        <v>242</v>
      </c>
      <c r="F10">
        <f t="shared" si="1"/>
        <v>121</v>
      </c>
      <c r="G10">
        <f t="shared" si="2"/>
        <v>484</v>
      </c>
    </row>
    <row r="11" spans="1:12" x14ac:dyDescent="0.2">
      <c r="C11">
        <v>20</v>
      </c>
      <c r="D11">
        <v>31</v>
      </c>
      <c r="E11">
        <f t="shared" si="0"/>
        <v>620</v>
      </c>
      <c r="F11">
        <f t="shared" si="1"/>
        <v>400</v>
      </c>
      <c r="G11">
        <f t="shared" si="2"/>
        <v>961</v>
      </c>
    </row>
    <row r="12" spans="1:12" x14ac:dyDescent="0.2">
      <c r="C12">
        <v>17</v>
      </c>
      <c r="D12">
        <v>33</v>
      </c>
      <c r="E12">
        <f t="shared" si="0"/>
        <v>561</v>
      </c>
      <c r="F12">
        <f t="shared" si="1"/>
        <v>289</v>
      </c>
      <c r="G12">
        <f t="shared" si="2"/>
        <v>1089</v>
      </c>
    </row>
    <row r="13" spans="1:12" x14ac:dyDescent="0.2">
      <c r="C13">
        <v>17</v>
      </c>
      <c r="D13">
        <v>36</v>
      </c>
      <c r="E13">
        <f t="shared" si="0"/>
        <v>612</v>
      </c>
      <c r="F13">
        <f t="shared" si="1"/>
        <v>289</v>
      </c>
      <c r="G13">
        <f t="shared" si="2"/>
        <v>1296</v>
      </c>
    </row>
    <row r="14" spans="1:12" x14ac:dyDescent="0.2">
      <c r="C14" s="30">
        <f>SUM(C4:C13)</f>
        <v>170</v>
      </c>
      <c r="D14" s="30">
        <f>SUM(D4:D13)</f>
        <v>300</v>
      </c>
      <c r="E14" s="30">
        <f>SUM(E4:E13)</f>
        <v>5313</v>
      </c>
      <c r="F14" s="30">
        <f>SUM(F4:F13)</f>
        <v>3250</v>
      </c>
      <c r="G14" s="30">
        <f>SUM(G4:G13)</f>
        <v>9250</v>
      </c>
    </row>
    <row r="17" spans="1:2" ht="20" x14ac:dyDescent="0.25">
      <c r="A17" s="32" t="s">
        <v>31</v>
      </c>
      <c r="B17" s="33" t="s">
        <v>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dcb00c-6941-4050-b69e-bd7eb8951712}" enabled="0" method="" siteId="{17dcb00c-6941-4050-b69e-bd7eb895171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Sarmiento, Maria Angel</dc:creator>
  <cp:lastModifiedBy>Kos, Nathaly M</cp:lastModifiedBy>
  <dcterms:created xsi:type="dcterms:W3CDTF">2024-10-16T14:10:38Z</dcterms:created>
  <dcterms:modified xsi:type="dcterms:W3CDTF">2025-03-01T21:37:22Z</dcterms:modified>
</cp:coreProperties>
</file>