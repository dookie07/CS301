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tecalderon/Downloads/"/>
    </mc:Choice>
  </mc:AlternateContent>
  <xr:revisionPtr revIDLastSave="0" documentId="8_{1EE7641E-D06A-3A44-8473-D550B87AF04D}" xr6:coauthVersionLast="47" xr6:coauthVersionMax="47" xr10:uidLastSave="{00000000-0000-0000-0000-000000000000}"/>
  <bookViews>
    <workbookView xWindow="58000" yWindow="-3160" windowWidth="32200" windowHeight="23560" activeTab="3" xr2:uid="{A8A97278-3DE3-3C4C-8C3F-8CAD802B8EBF}"/>
  </bookViews>
  <sheets>
    <sheet name="step 1" sheetId="1" r:id="rId1"/>
    <sheet name="step 2" sheetId="2" r:id="rId2"/>
    <sheet name="step 3" sheetId="3" r:id="rId3"/>
    <sheet name="step 4" sheetId="4" r:id="rId4"/>
    <sheet name="step 5" sheetId="5" r:id="rId5"/>
    <sheet name="step 6 (final step)" sheetId="6" r:id="rId6"/>
    <sheet name="Rubric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D6" i="5"/>
  <c r="C7" i="5"/>
  <c r="C6" i="5"/>
  <c r="E6" i="4"/>
  <c r="E7" i="4"/>
  <c r="D8" i="4"/>
  <c r="C8" i="4"/>
  <c r="E9" i="3"/>
  <c r="F8" i="3"/>
  <c r="F7" i="3"/>
  <c r="F6" i="3"/>
  <c r="D9" i="3"/>
  <c r="C9" i="3"/>
  <c r="E8" i="3"/>
  <c r="D8" i="3"/>
  <c r="C8" i="3"/>
  <c r="K9" i="6"/>
  <c r="J9" i="6"/>
  <c r="I9" i="6"/>
  <c r="H9" i="6"/>
  <c r="G9" i="6"/>
  <c r="K8" i="5"/>
  <c r="J8" i="5"/>
  <c r="I8" i="5"/>
  <c r="H8" i="5"/>
  <c r="D7" i="5"/>
  <c r="K8" i="4"/>
  <c r="J8" i="4"/>
  <c r="I8" i="4"/>
  <c r="E8" i="4"/>
  <c r="D7" i="4"/>
  <c r="D6" i="4"/>
  <c r="C7" i="4"/>
  <c r="E6" i="3"/>
  <c r="E7" i="3"/>
  <c r="G10" i="2"/>
  <c r="G9" i="2"/>
  <c r="G8" i="2"/>
  <c r="G7" i="2"/>
  <c r="G6" i="2"/>
  <c r="F10" i="2"/>
  <c r="E10" i="2"/>
  <c r="D10" i="2"/>
  <c r="C10" i="2"/>
  <c r="C9" i="2"/>
  <c r="C7" i="2"/>
  <c r="C6" i="4"/>
  <c r="D6" i="3"/>
  <c r="C6" i="3"/>
  <c r="D7" i="3"/>
  <c r="C7" i="3"/>
  <c r="C6" i="2"/>
  <c r="F9" i="2"/>
  <c r="F8" i="2"/>
  <c r="F7" i="2"/>
  <c r="E9" i="2"/>
  <c r="E8" i="2"/>
  <c r="E7" i="2"/>
  <c r="D9" i="2"/>
  <c r="D8" i="2"/>
  <c r="D7" i="2"/>
  <c r="F6" i="2"/>
  <c r="E6" i="2"/>
  <c r="D6" i="2"/>
  <c r="C8" i="2"/>
  <c r="H11" i="1"/>
  <c r="H10" i="1"/>
  <c r="H9" i="1"/>
  <c r="H8" i="1"/>
  <c r="H7" i="1"/>
  <c r="H6" i="1"/>
  <c r="G11" i="1"/>
  <c r="G10" i="1"/>
  <c r="G9" i="1"/>
  <c r="G8" i="1"/>
  <c r="G7" i="1"/>
  <c r="G6" i="1"/>
  <c r="F11" i="1"/>
  <c r="F10" i="1"/>
  <c r="F9" i="1"/>
  <c r="F8" i="1"/>
  <c r="F7" i="1"/>
  <c r="E11" i="1"/>
  <c r="E10" i="1"/>
  <c r="E9" i="1"/>
  <c r="E8" i="1"/>
  <c r="E7" i="1"/>
  <c r="D7" i="1"/>
  <c r="E6" i="1"/>
  <c r="F6" i="1"/>
  <c r="D6" i="1"/>
  <c r="D11" i="1"/>
  <c r="D10" i="1"/>
  <c r="D9" i="1"/>
  <c r="D8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<sst xmlns="http://schemas.openxmlformats.org/spreadsheetml/2006/main" count="91" uniqueCount="45">
  <si>
    <t>points:</t>
  </si>
  <si>
    <t>Distance Matrix</t>
  </si>
  <si>
    <t>use euclidean distance</t>
  </si>
  <si>
    <t>consider the following set of 6 one dimensional data points: 18, 22, 25, 27, 42, 43</t>
  </si>
  <si>
    <r>
      <t xml:space="preserve">apply the </t>
    </r>
    <r>
      <rPr>
        <sz val="12"/>
        <color rgb="FFC00000"/>
        <rFont val="Calibri (Body)"/>
      </rPr>
      <t>agglomerative hierarchical clustering algorithm</t>
    </r>
    <r>
      <rPr>
        <sz val="12"/>
        <color theme="1"/>
        <rFont val="Calibri"/>
        <family val="2"/>
        <scheme val="minor"/>
      </rPr>
      <t xml:space="preserve"> to build the hierarchiincal clustering </t>
    </r>
    <r>
      <rPr>
        <sz val="12"/>
        <color rgb="FFC00000"/>
        <rFont val="Calibri (Body)"/>
      </rPr>
      <t>dendogram</t>
    </r>
    <r>
      <rPr>
        <sz val="12"/>
        <color theme="1"/>
        <rFont val="Calibri"/>
        <family val="2"/>
        <scheme val="minor"/>
      </rPr>
      <t xml:space="preserve">. </t>
    </r>
  </si>
  <si>
    <t>slide1:</t>
  </si>
  <si>
    <t>points</t>
  </si>
  <si>
    <t xml:space="preserve">3 points </t>
  </si>
  <si>
    <t>slide2:</t>
  </si>
  <si>
    <t>2 points</t>
  </si>
  <si>
    <t>slide3:</t>
  </si>
  <si>
    <t>slide4:</t>
  </si>
  <si>
    <t>slide5:</t>
  </si>
  <si>
    <t>slide6:</t>
  </si>
  <si>
    <t>2 poitns</t>
  </si>
  <si>
    <t>Dendrogram</t>
  </si>
  <si>
    <t xml:space="preserve">2 points </t>
  </si>
  <si>
    <r>
      <t xml:space="preserve">merge the clusters using </t>
    </r>
    <r>
      <rPr>
        <sz val="12"/>
        <color rgb="FFFF0000"/>
        <rFont val="Calibri (Body)"/>
      </rPr>
      <t>Min distance</t>
    </r>
    <r>
      <rPr>
        <sz val="12"/>
        <color theme="1"/>
        <rFont val="Calibri"/>
        <family val="2"/>
        <scheme val="minor"/>
      </rPr>
      <t xml:space="preserve"> and update the matrix accordingly </t>
    </r>
  </si>
  <si>
    <t>once you have finished step 6, draw a dendogram, take a picture of it, and paste it into the step 6 sheet</t>
  </si>
  <si>
    <t>{5,6}</t>
  </si>
  <si>
    <t>Cluster 42-43 = {5,6} d=1</t>
  </si>
  <si>
    <t>(42,43)</t>
  </si>
  <si>
    <t xml:space="preserve"> </t>
  </si>
  <si>
    <t>{4,5,6}</t>
  </si>
  <si>
    <t xml:space="preserve">                   Min Point </t>
  </si>
  <si>
    <t>Cluster 27</t>
  </si>
  <si>
    <t xml:space="preserve"> {1,2,3,4,5,6}</t>
  </si>
  <si>
    <t>(18,22,25,27,42,43)</t>
  </si>
  <si>
    <t>Point x=27</t>
  </si>
  <si>
    <t>Cluster =42</t>
  </si>
  <si>
    <t>Cluster =43</t>
  </si>
  <si>
    <t>Point x=25</t>
  </si>
  <si>
    <t>43-42=1</t>
  </si>
  <si>
    <t>Point x=22</t>
  </si>
  <si>
    <t>Cluster 25</t>
  </si>
  <si>
    <t>d=3</t>
  </si>
  <si>
    <t>d=2</t>
  </si>
  <si>
    <t>d=15</t>
  </si>
  <si>
    <t>d=1</t>
  </si>
  <si>
    <t>Point x=18</t>
  </si>
  <si>
    <t>Cluster 22</t>
  </si>
  <si>
    <t>d=4</t>
  </si>
  <si>
    <t>(25,27)</t>
  </si>
  <si>
    <t>(22,25,27)</t>
  </si>
  <si>
    <r>
      <t>18,22,25,</t>
    </r>
    <r>
      <rPr>
        <b/>
        <u/>
        <sz val="12"/>
        <color theme="1"/>
        <rFont val="Calibri (Body)"/>
      </rPr>
      <t>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</si>
</sst>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C00000"/>
      <name val="Calibri (Body)"/>
    </font>
    <font>
      <sz val="12"/>
      <color rgb="FFFF0000"/>
      <name val="Calibri (Body)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 (Body)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 (Body)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B4C6E7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5" fillId="4" borderId="1" xfId="0" applyFont="1" applyFill="1" applyBorder="1"/>
    <xf numFmtId="0" fontId="0" fillId="0" borderId="1" xfId="0" applyBorder="1"/>
    <xf numFmtId="0" fontId="0" fillId="6" borderId="0" xfId="0" applyFill="1"/>
    <xf numFmtId="0" fontId="5" fillId="6" borderId="1" xfId="0" applyFont="1" applyFill="1" applyBorder="1"/>
    <xf numFmtId="0" fontId="0" fillId="0" borderId="0" xfId="0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3" borderId="1" xfId="0" applyFont="1" applyFill="1" applyBorder="1"/>
    <xf numFmtId="0" fontId="9" fillId="7" borderId="1" xfId="0" applyFont="1" applyFill="1" applyBorder="1"/>
    <xf numFmtId="0" fontId="9" fillId="7" borderId="2" xfId="0" applyFont="1" applyFill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5" fillId="6" borderId="0" xfId="0" applyFont="1" applyFill="1"/>
    <xf numFmtId="0" fontId="0" fillId="8" borderId="0" xfId="0" applyFill="1"/>
    <xf numFmtId="0" fontId="0" fillId="9" borderId="0" xfId="0" applyFill="1"/>
    <xf numFmtId="0" fontId="0" fillId="6" borderId="0" xfId="0" applyFill="1" applyAlignment="1">
      <alignment horizontal="right"/>
    </xf>
    <xf numFmtId="0" fontId="9" fillId="7" borderId="2" xfId="0" applyFont="1" applyFill="1" applyBorder="1" applyAlignment="1">
      <alignment horizontal="right"/>
    </xf>
    <xf numFmtId="0" fontId="6" fillId="10" borderId="0" xfId="0" applyFont="1" applyFill="1"/>
    <xf numFmtId="0" fontId="9" fillId="0" borderId="0" xfId="0" applyFont="1" applyAlignment="1">
      <alignment horizontal="right"/>
    </xf>
    <xf numFmtId="0" fontId="9" fillId="11" borderId="1" xfId="0" applyFont="1" applyFill="1" applyBorder="1" applyAlignment="1">
      <alignment horizontal="right"/>
    </xf>
    <xf numFmtId="0" fontId="6" fillId="6" borderId="1" xfId="0" applyFont="1" applyFill="1" applyBorder="1"/>
    <xf numFmtId="0" fontId="0" fillId="13" borderId="0" xfId="0" applyFill="1" applyAlignment="1">
      <alignment horizontal="center"/>
    </xf>
    <xf numFmtId="0" fontId="0" fillId="13" borderId="0" xfId="0" applyFill="1"/>
    <xf numFmtId="0" fontId="6" fillId="14" borderId="0" xfId="0" applyFont="1" applyFill="1" applyAlignment="1">
      <alignment horizontal="center"/>
    </xf>
    <xf numFmtId="0" fontId="6" fillId="14" borderId="0" xfId="0" applyFont="1" applyFill="1"/>
    <xf numFmtId="0" fontId="6" fillId="0" borderId="0" xfId="0" applyFont="1" applyAlignment="1">
      <alignment horizontal="center"/>
    </xf>
    <xf numFmtId="0" fontId="6" fillId="12" borderId="1" xfId="0" applyFont="1" applyFill="1" applyBorder="1"/>
    <xf numFmtId="0" fontId="6" fillId="12" borderId="2" xfId="0" applyFont="1" applyFill="1" applyBorder="1"/>
    <xf numFmtId="0" fontId="6" fillId="12" borderId="4" xfId="0" applyFont="1" applyFill="1" applyBorder="1"/>
    <xf numFmtId="0" fontId="6" fillId="15" borderId="0" xfId="0" applyFont="1" applyFill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1845733</xdr:colOff>
      <xdr:row>14</xdr:row>
      <xdr:rowOff>135466</xdr:rowOff>
    </xdr:from>
    <xdr:to>
      <xdr:col>7</xdr:col>
      <xdr:colOff>21525</xdr:colOff>
      <xdr:row>46</xdr:row>
      <xdr:rowOff>159398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B6FC3-0279-D5F5-069C-2E79D5C03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5733" y="2847669"/>
          <a:ext cx="7259521" cy="62232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AFEA-B51F-D64A-ACEE-DC7EB33E56DF}">
  <dimension ref="A2:L13"/>
  <sheetViews>
    <sheetView zoomScale="114" workbookViewId="0">
      <selection activeCell="M10" sqref="M10"/>
    </sheetView>
  </sheetViews>
  <sheetFormatPr baseColWidth="10" defaultRowHeight="16" x14ac:dyDescent="0.2"/>
  <cols>
    <col min="1" max="1" width="14.6640625" customWidth="1"/>
  </cols>
  <sheetData>
    <row r="2" spans="1:12" x14ac:dyDescent="0.2">
      <c r="B2" s="12" t="s">
        <v>1</v>
      </c>
      <c r="C2" s="8"/>
    </row>
    <row r="4" spans="1:12" x14ac:dyDescent="0.2">
      <c r="C4">
        <v>1</v>
      </c>
      <c r="D4">
        <v>2</v>
      </c>
      <c r="E4">
        <v>3</v>
      </c>
      <c r="F4">
        <v>4</v>
      </c>
      <c r="G4" s="11">
        <v>5</v>
      </c>
      <c r="H4" s="11">
        <v>6</v>
      </c>
      <c r="K4" t="s">
        <v>3</v>
      </c>
    </row>
    <row r="5" spans="1:12" x14ac:dyDescent="0.2">
      <c r="B5" s="9" t="s">
        <v>0</v>
      </c>
      <c r="C5" s="9">
        <v>18</v>
      </c>
      <c r="D5" s="9">
        <v>22</v>
      </c>
      <c r="E5" s="9">
        <v>25</v>
      </c>
      <c r="F5" s="9">
        <v>27</v>
      </c>
      <c r="G5" s="9">
        <v>42</v>
      </c>
      <c r="H5" s="9">
        <v>43</v>
      </c>
      <c r="K5" t="s">
        <v>4</v>
      </c>
    </row>
    <row r="6" spans="1:12" x14ac:dyDescent="0.2">
      <c r="A6">
        <v>1</v>
      </c>
      <c r="B6" s="9">
        <v>18</v>
      </c>
      <c r="C6" s="7">
        <f>SUM(B6-C5)</f>
        <v>0</v>
      </c>
      <c r="D6" s="7">
        <f>SUM(ABS((B6-D5)))</f>
        <v>4</v>
      </c>
      <c r="E6" s="7">
        <f>SUM(ABS(B6-E5))</f>
        <v>7</v>
      </c>
      <c r="F6" s="7">
        <f>SUM(ABS(B6-F5))</f>
        <v>9</v>
      </c>
      <c r="G6" s="7">
        <f>SUM(ABS(B6-G5))</f>
        <v>24</v>
      </c>
      <c r="H6" s="10">
        <f>SUM(ABS(B6-H5))</f>
        <v>25</v>
      </c>
      <c r="K6" s="1" t="s">
        <v>2</v>
      </c>
      <c r="L6" s="1"/>
    </row>
    <row r="7" spans="1:12" x14ac:dyDescent="0.2">
      <c r="A7">
        <v>2</v>
      </c>
      <c r="B7" s="9">
        <v>22</v>
      </c>
      <c r="C7" s="7">
        <f>SUM(B7-C5)</f>
        <v>4</v>
      </c>
      <c r="D7" s="7">
        <f>SUM(B7-D5)</f>
        <v>0</v>
      </c>
      <c r="E7" s="7">
        <f>SUM(ABS(B7-E5))</f>
        <v>3</v>
      </c>
      <c r="F7" s="7">
        <f>SUM(ABS(B7-F5))</f>
        <v>5</v>
      </c>
      <c r="G7" s="10">
        <f>SUM(ABS(B7-G5))</f>
        <v>20</v>
      </c>
      <c r="H7" s="7">
        <f>SUM(ABS(B7-H5))</f>
        <v>21</v>
      </c>
    </row>
    <row r="8" spans="1:12" x14ac:dyDescent="0.2">
      <c r="A8">
        <v>3</v>
      </c>
      <c r="B8" s="9">
        <v>25</v>
      </c>
      <c r="C8" s="7">
        <f>SUM(B8-C5)</f>
        <v>7</v>
      </c>
      <c r="D8" s="7">
        <f>SUM(B8-D5)</f>
        <v>3</v>
      </c>
      <c r="E8" s="7">
        <f>SUM(ABS(B8-E5))</f>
        <v>0</v>
      </c>
      <c r="F8" s="7">
        <f>SUM(ABS(B8-F5))</f>
        <v>2</v>
      </c>
      <c r="G8" s="10">
        <f>SUM(ABS(B8-G5))</f>
        <v>17</v>
      </c>
      <c r="H8" s="7">
        <f>SUM(ABS(B8-H5))</f>
        <v>18</v>
      </c>
      <c r="K8" t="s">
        <v>17</v>
      </c>
    </row>
    <row r="9" spans="1:12" x14ac:dyDescent="0.2">
      <c r="A9">
        <v>4</v>
      </c>
      <c r="B9" s="9">
        <v>27</v>
      </c>
      <c r="C9" s="7">
        <f>SUM(B9-C5)</f>
        <v>9</v>
      </c>
      <c r="D9" s="7">
        <f>SUM(B9-D5)</f>
        <v>5</v>
      </c>
      <c r="E9" s="7">
        <f>SUM(ABS(B9-E5))</f>
        <v>2</v>
      </c>
      <c r="F9" s="7">
        <f>SUM(ABS(B9-F5))</f>
        <v>0</v>
      </c>
      <c r="G9" s="10">
        <f>SUM(ABS(B9-G5))</f>
        <v>15</v>
      </c>
      <c r="H9" s="7">
        <f>SUM(ABS(B9-H5))</f>
        <v>16</v>
      </c>
    </row>
    <row r="10" spans="1:12" x14ac:dyDescent="0.2">
      <c r="A10" s="22">
        <v>5</v>
      </c>
      <c r="B10" s="9">
        <v>42</v>
      </c>
      <c r="C10" s="7">
        <f>SUM(B10-C5)</f>
        <v>24</v>
      </c>
      <c r="D10" s="7">
        <f>SUM(B10-D5)</f>
        <v>20</v>
      </c>
      <c r="E10" s="7">
        <f>SUM(ABS(B10-E5))</f>
        <v>17</v>
      </c>
      <c r="F10" s="7">
        <f>SUM(ABS(B10-F5))</f>
        <v>15</v>
      </c>
      <c r="G10" s="10">
        <f>SUM(ABS(B10-G5))</f>
        <v>0</v>
      </c>
      <c r="H10" s="7">
        <f>SUM(ABS(B10-H5))</f>
        <v>1</v>
      </c>
      <c r="K10" t="s">
        <v>18</v>
      </c>
    </row>
    <row r="11" spans="1:12" x14ac:dyDescent="0.2">
      <c r="A11" s="22">
        <v>6</v>
      </c>
      <c r="B11" s="9">
        <v>43</v>
      </c>
      <c r="C11" s="10">
        <f>SUM(B11-C5)</f>
        <v>25</v>
      </c>
      <c r="D11" s="7">
        <f>SUM(B11-D5)</f>
        <v>21</v>
      </c>
      <c r="E11" s="7">
        <f>SUM(ABS(B11-E5))</f>
        <v>18</v>
      </c>
      <c r="F11" s="7">
        <f>SUM(ABS(B11-F5))</f>
        <v>16</v>
      </c>
      <c r="G11" s="10">
        <f>SUM(ABS(B11-G5))</f>
        <v>1</v>
      </c>
      <c r="H11" s="7">
        <f>SUM(ABS(B11-H5))</f>
        <v>0</v>
      </c>
    </row>
    <row r="13" spans="1:12" x14ac:dyDescent="0.2">
      <c r="A13" s="22" t="s">
        <v>20</v>
      </c>
      <c r="B13" s="2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053C-8AF7-E340-9918-BB46D62DA1A3}">
  <dimension ref="A2:J20"/>
  <sheetViews>
    <sheetView zoomScale="112" workbookViewId="0">
      <selection activeCell="G9" sqref="G9"/>
    </sheetView>
  </sheetViews>
  <sheetFormatPr baseColWidth="10" defaultRowHeight="16" x14ac:dyDescent="0.2"/>
  <cols>
    <col min="1" max="1" width="16.5" customWidth="1"/>
    <col min="9" max="9" width="10.5" customWidth="1"/>
  </cols>
  <sheetData>
    <row r="2" spans="1:10" x14ac:dyDescent="0.2">
      <c r="B2" s="12" t="s">
        <v>1</v>
      </c>
      <c r="C2" s="8"/>
    </row>
    <row r="3" spans="1:10" x14ac:dyDescent="0.2">
      <c r="I3" s="30" t="s">
        <v>24</v>
      </c>
      <c r="J3" s="31"/>
    </row>
    <row r="4" spans="1:10" x14ac:dyDescent="0.2">
      <c r="C4">
        <v>1</v>
      </c>
      <c r="D4">
        <v>2</v>
      </c>
      <c r="E4">
        <v>3</v>
      </c>
      <c r="F4">
        <v>4</v>
      </c>
      <c r="G4" s="24" t="s">
        <v>19</v>
      </c>
    </row>
    <row r="5" spans="1:10" x14ac:dyDescent="0.2">
      <c r="B5" s="9" t="s">
        <v>0</v>
      </c>
      <c r="C5" s="9">
        <v>18</v>
      </c>
      <c r="D5" s="9">
        <v>22</v>
      </c>
      <c r="E5" s="9">
        <v>25</v>
      </c>
      <c r="F5" s="9">
        <v>27</v>
      </c>
      <c r="G5" s="14" t="s">
        <v>21</v>
      </c>
      <c r="I5" t="s">
        <v>32</v>
      </c>
    </row>
    <row r="6" spans="1:10" x14ac:dyDescent="0.2">
      <c r="A6">
        <v>1</v>
      </c>
      <c r="B6" s="9">
        <v>18</v>
      </c>
      <c r="C6" s="10">
        <f>SQRT((B6-C5)^2)</f>
        <v>0</v>
      </c>
      <c r="D6" s="10">
        <f>SQRT((B6-D5)^2)</f>
        <v>4</v>
      </c>
      <c r="E6" s="10">
        <f>SQRT((B6-E5)^2)</f>
        <v>7</v>
      </c>
      <c r="F6" s="10">
        <f>SQRT((B6-F5)^2)</f>
        <v>9</v>
      </c>
      <c r="G6" s="10">
        <f>SQRT((B6-42)^2)</f>
        <v>24</v>
      </c>
      <c r="I6" t="s">
        <v>38</v>
      </c>
    </row>
    <row r="7" spans="1:10" x14ac:dyDescent="0.2">
      <c r="A7">
        <v>2</v>
      </c>
      <c r="B7" s="9">
        <v>22</v>
      </c>
      <c r="C7" s="10">
        <f>SQRT((B7-C5)^2)</f>
        <v>4</v>
      </c>
      <c r="D7" s="10">
        <f>SQRT((B7-D5)^2)</f>
        <v>0</v>
      </c>
      <c r="E7" s="10">
        <f>SQRT((B7-E5)^2)</f>
        <v>3</v>
      </c>
      <c r="F7" s="10">
        <f>SQRT((B7-F5)^2)</f>
        <v>5</v>
      </c>
      <c r="G7" s="10">
        <f>SQRT((B7-42)^2)</f>
        <v>20</v>
      </c>
    </row>
    <row r="8" spans="1:10" x14ac:dyDescent="0.2">
      <c r="A8">
        <v>3</v>
      </c>
      <c r="B8" s="9">
        <v>25</v>
      </c>
      <c r="C8" s="10">
        <f>SQRT((B8-C5)^2)</f>
        <v>7</v>
      </c>
      <c r="D8" s="10">
        <f>SQRT((B8-D5)^2)</f>
        <v>3</v>
      </c>
      <c r="E8" s="10">
        <f>SQRT((B8-E5)^2)</f>
        <v>0</v>
      </c>
      <c r="F8" s="10">
        <f>SQRT((B8-F5)^2)</f>
        <v>2</v>
      </c>
      <c r="G8" s="10">
        <f>SQRT((B8-42)^2)</f>
        <v>17</v>
      </c>
    </row>
    <row r="9" spans="1:10" x14ac:dyDescent="0.2">
      <c r="A9">
        <v>4</v>
      </c>
      <c r="B9" s="9">
        <v>27</v>
      </c>
      <c r="C9" s="10">
        <f>SQRT((B9-C5)^2)</f>
        <v>9</v>
      </c>
      <c r="D9" s="10">
        <f>SQRT((B9-D5)^2)</f>
        <v>5</v>
      </c>
      <c r="E9" s="10">
        <f>SQRT((B9-E5)^2)</f>
        <v>2</v>
      </c>
      <c r="F9" s="10">
        <f>SQRT((B9-F5)^2)</f>
        <v>0</v>
      </c>
      <c r="G9" s="10">
        <f>SQRT((B9-42)^2)</f>
        <v>15</v>
      </c>
    </row>
    <row r="10" spans="1:10" x14ac:dyDescent="0.2">
      <c r="A10" s="24" t="s">
        <v>19</v>
      </c>
      <c r="B10" s="14" t="s">
        <v>21</v>
      </c>
      <c r="C10" s="10">
        <f>SQRT((42-C5)^2)</f>
        <v>24</v>
      </c>
      <c r="D10" s="10">
        <f>SQRT((42-D5)^2)</f>
        <v>20</v>
      </c>
      <c r="E10" s="10">
        <f>SQRT((42-E5)^2)</f>
        <v>17</v>
      </c>
      <c r="F10" s="10">
        <f>SQRT((42-F5)^2)</f>
        <v>15</v>
      </c>
      <c r="G10" s="10">
        <f>SQRT((42-42)^2)</f>
        <v>0</v>
      </c>
    </row>
    <row r="16" spans="1:10" x14ac:dyDescent="0.2">
      <c r="A16" s="23" t="s">
        <v>20</v>
      </c>
      <c r="B16" s="23"/>
    </row>
    <row r="20" spans="3:3" x14ac:dyDescent="0.2">
      <c r="C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E0DD-1E9F-6242-BB85-5F1FB1DB5378}">
  <dimension ref="A2:K21"/>
  <sheetViews>
    <sheetView zoomScaleNormal="143" workbookViewId="0">
      <selection activeCell="F10" sqref="F10"/>
    </sheetView>
  </sheetViews>
  <sheetFormatPr baseColWidth="10" defaultRowHeight="16" x14ac:dyDescent="0.2"/>
  <cols>
    <col min="1" max="1" width="22" customWidth="1"/>
    <col min="2" max="2" width="15.6640625" customWidth="1"/>
    <col min="6" max="6" width="20.83203125" customWidth="1"/>
    <col min="8" max="8" width="18.1640625" customWidth="1"/>
    <col min="9" max="9" width="17.5" customWidth="1"/>
    <col min="10" max="10" width="10.83203125" customWidth="1"/>
  </cols>
  <sheetData>
    <row r="2" spans="1:11" x14ac:dyDescent="0.2">
      <c r="H2" s="32" t="s">
        <v>24</v>
      </c>
      <c r="I2" s="33"/>
    </row>
    <row r="3" spans="1:11" x14ac:dyDescent="0.2">
      <c r="B3" s="8" t="s">
        <v>1</v>
      </c>
    </row>
    <row r="4" spans="1:11" x14ac:dyDescent="0.2">
      <c r="C4">
        <v>1</v>
      </c>
      <c r="D4">
        <v>2</v>
      </c>
      <c r="E4" s="13">
        <v>3</v>
      </c>
      <c r="F4" s="24" t="s">
        <v>19</v>
      </c>
    </row>
    <row r="5" spans="1:11" x14ac:dyDescent="0.2">
      <c r="B5" s="9" t="s">
        <v>0</v>
      </c>
      <c r="C5" s="9">
        <v>18</v>
      </c>
      <c r="D5" s="9">
        <v>22</v>
      </c>
      <c r="E5" s="14" t="s">
        <v>42</v>
      </c>
      <c r="F5" s="14" t="s">
        <v>21</v>
      </c>
      <c r="H5" s="35" t="s">
        <v>29</v>
      </c>
      <c r="I5" s="37" t="s">
        <v>30</v>
      </c>
      <c r="J5" s="18" t="s">
        <v>28</v>
      </c>
    </row>
    <row r="6" spans="1:11" x14ac:dyDescent="0.2">
      <c r="A6">
        <v>1</v>
      </c>
      <c r="B6" s="16">
        <v>18</v>
      </c>
      <c r="C6" s="10">
        <f>SQRT((B6-C5)^2)</f>
        <v>0</v>
      </c>
      <c r="D6" s="10">
        <f>SQRT((B6-D5)^2)</f>
        <v>4</v>
      </c>
      <c r="E6" s="10">
        <f>SQRT((B6-25)^2)</f>
        <v>7</v>
      </c>
      <c r="F6" s="10">
        <f>SQRT((B6-42)^2)</f>
        <v>24</v>
      </c>
      <c r="H6" s="36">
        <v>15</v>
      </c>
      <c r="I6" s="39">
        <v>16</v>
      </c>
      <c r="J6" s="18"/>
      <c r="K6" s="18"/>
    </row>
    <row r="7" spans="1:11" x14ac:dyDescent="0.2">
      <c r="A7">
        <v>2</v>
      </c>
      <c r="B7" s="17">
        <v>22</v>
      </c>
      <c r="C7" s="10">
        <f>SQRT((B7-C5)^2)</f>
        <v>4</v>
      </c>
      <c r="D7" s="10">
        <f>SQRT((B7-D5)^2)</f>
        <v>0</v>
      </c>
      <c r="E7" s="10">
        <f>SQRT((B7-25)^2)</f>
        <v>3</v>
      </c>
      <c r="F7" s="10">
        <f>SQRT((B7-42)^2)</f>
        <v>20</v>
      </c>
      <c r="H7" s="18" t="s">
        <v>37</v>
      </c>
    </row>
    <row r="8" spans="1:11" x14ac:dyDescent="0.2">
      <c r="A8" s="13">
        <v>3</v>
      </c>
      <c r="B8" s="25" t="s">
        <v>42</v>
      </c>
      <c r="C8" s="10">
        <f>SQRT((25-C5)^2)</f>
        <v>7</v>
      </c>
      <c r="D8" s="10">
        <f>SQRT((25-D5)^2)</f>
        <v>3</v>
      </c>
      <c r="E8" s="10">
        <f>SQRT((25-25)^2)</f>
        <v>0</v>
      </c>
      <c r="F8" s="10">
        <f>SQRT((42-27)^2)</f>
        <v>15</v>
      </c>
      <c r="H8" s="18"/>
    </row>
    <row r="9" spans="1:11" x14ac:dyDescent="0.2">
      <c r="A9" s="24" t="s">
        <v>23</v>
      </c>
      <c r="B9" s="25" t="s">
        <v>21</v>
      </c>
      <c r="C9" s="10">
        <f>SQRT((42-C5)^2)</f>
        <v>24</v>
      </c>
      <c r="D9" s="10">
        <f>SQRT((42-D5)^2)</f>
        <v>20</v>
      </c>
      <c r="E9" s="10">
        <f>SQRT((42-27)^2)</f>
        <v>15</v>
      </c>
      <c r="F9" s="10">
        <f>SQRT((42-42)^2)</f>
        <v>0</v>
      </c>
      <c r="H9" s="18"/>
    </row>
    <row r="10" spans="1:11" x14ac:dyDescent="0.2">
      <c r="H10" s="18"/>
    </row>
    <row r="14" spans="1:11" x14ac:dyDescent="0.2">
      <c r="H14" s="34"/>
      <c r="I14" s="18"/>
    </row>
    <row r="15" spans="1:11" x14ac:dyDescent="0.2">
      <c r="I15" s="18"/>
      <c r="J15" s="18"/>
    </row>
    <row r="16" spans="1:11" x14ac:dyDescent="0.2">
      <c r="A16" s="38" t="s">
        <v>20</v>
      </c>
      <c r="H16" s="18"/>
      <c r="I16" s="18"/>
      <c r="J16" s="18"/>
    </row>
    <row r="17" spans="3:9" x14ac:dyDescent="0.2">
      <c r="F17" s="18"/>
      <c r="G17" s="18"/>
      <c r="I17" s="18"/>
    </row>
    <row r="18" spans="3:9" x14ac:dyDescent="0.2">
      <c r="F18" s="18"/>
      <c r="G18" s="18"/>
      <c r="H18" s="18"/>
      <c r="I18" s="18"/>
    </row>
    <row r="19" spans="3:9" x14ac:dyDescent="0.2">
      <c r="F19" s="18"/>
      <c r="G19" s="18"/>
      <c r="H19" s="18"/>
      <c r="I19" s="18"/>
    </row>
    <row r="20" spans="3:9" x14ac:dyDescent="0.2">
      <c r="C20" s="3"/>
      <c r="F20" s="18"/>
      <c r="G20" s="18"/>
      <c r="H20" s="18"/>
      <c r="I20" s="18"/>
    </row>
    <row r="21" spans="3:9" x14ac:dyDescent="0.2">
      <c r="F21" s="18"/>
      <c r="G21" s="18"/>
      <c r="H21" s="18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DABC-3040-B443-A885-D6132AC6A506}">
  <dimension ref="A2:R30"/>
  <sheetViews>
    <sheetView tabSelected="1" zoomScale="118" workbookViewId="0">
      <selection activeCell="C8" sqref="C8"/>
    </sheetView>
  </sheetViews>
  <sheetFormatPr baseColWidth="10" defaultRowHeight="16" x14ac:dyDescent="0.2"/>
  <cols>
    <col min="1" max="1" width="21.6640625" customWidth="1"/>
    <col min="2" max="2" width="15" customWidth="1"/>
    <col min="5" max="5" width="15.5" customWidth="1"/>
    <col min="7" max="7" width="11.83203125" customWidth="1"/>
    <col min="8" max="8" width="16" customWidth="1"/>
    <col min="9" max="9" width="13.83203125" customWidth="1"/>
  </cols>
  <sheetData>
    <row r="2" spans="1:18" x14ac:dyDescent="0.2">
      <c r="B2" s="21" t="s">
        <v>1</v>
      </c>
    </row>
    <row r="3" spans="1:18" x14ac:dyDescent="0.2">
      <c r="L3" s="18"/>
      <c r="M3" s="18"/>
      <c r="N3" s="18"/>
    </row>
    <row r="4" spans="1:18" x14ac:dyDescent="0.2">
      <c r="C4">
        <v>1</v>
      </c>
      <c r="D4">
        <v>2</v>
      </c>
      <c r="E4" s="13" t="s">
        <v>19</v>
      </c>
      <c r="G4" s="18"/>
      <c r="H4" s="32" t="s">
        <v>24</v>
      </c>
      <c r="I4" s="33"/>
      <c r="J4" s="18"/>
      <c r="L4" s="18"/>
      <c r="M4" s="18"/>
      <c r="N4" s="18"/>
    </row>
    <row r="5" spans="1:18" x14ac:dyDescent="0.2">
      <c r="B5" s="9" t="s">
        <v>0</v>
      </c>
      <c r="C5" s="9">
        <v>18</v>
      </c>
      <c r="D5" s="14" t="s">
        <v>43</v>
      </c>
      <c r="E5" s="28" t="s">
        <v>21</v>
      </c>
      <c r="G5" s="18"/>
      <c r="H5" s="18"/>
      <c r="I5" s="18"/>
      <c r="J5" s="18"/>
      <c r="L5" s="18"/>
      <c r="M5" s="19"/>
      <c r="N5" s="19"/>
    </row>
    <row r="6" spans="1:18" x14ac:dyDescent="0.2">
      <c r="A6">
        <v>1</v>
      </c>
      <c r="B6" s="9">
        <v>18</v>
      </c>
      <c r="C6" s="10">
        <f>SQRT((B6-C5)^2)</f>
        <v>0</v>
      </c>
      <c r="D6" s="10">
        <f>SQRT((B6-22)^2)</f>
        <v>4</v>
      </c>
      <c r="E6" s="10">
        <f>SQRT((B6-42)^2)</f>
        <v>24</v>
      </c>
      <c r="G6" s="18"/>
      <c r="H6" s="18"/>
      <c r="I6" s="18"/>
      <c r="J6" s="18"/>
      <c r="L6" s="20"/>
      <c r="M6" s="27"/>
      <c r="N6" s="27"/>
    </row>
    <row r="7" spans="1:18" x14ac:dyDescent="0.2">
      <c r="A7" s="13">
        <v>2</v>
      </c>
      <c r="B7" s="14" t="s">
        <v>43</v>
      </c>
      <c r="C7" s="10">
        <f>SQRT((22-C5)^2)</f>
        <v>4</v>
      </c>
      <c r="D7" s="10">
        <f>SQRT((22-22)^2)</f>
        <v>0</v>
      </c>
      <c r="E7" s="10">
        <f>SQRT((42-27)^2)</f>
        <v>15</v>
      </c>
      <c r="G7" s="18"/>
      <c r="H7" s="29" t="s">
        <v>31</v>
      </c>
      <c r="I7" s="8" t="s">
        <v>25</v>
      </c>
      <c r="J7" s="35" t="s">
        <v>29</v>
      </c>
      <c r="K7" s="35" t="s">
        <v>30</v>
      </c>
      <c r="L7" s="18"/>
      <c r="M7" s="18"/>
      <c r="N7" s="18"/>
    </row>
    <row r="8" spans="1:18" x14ac:dyDescent="0.2">
      <c r="A8" s="13" t="s">
        <v>19</v>
      </c>
      <c r="B8" s="28" t="s">
        <v>21</v>
      </c>
      <c r="C8" s="10">
        <f>SQRT((42-C5)^2)</f>
        <v>24</v>
      </c>
      <c r="D8" s="10">
        <f>SQRT((42-27)^2)</f>
        <v>15</v>
      </c>
      <c r="E8" s="10">
        <f>SQRT((25-25)^2)</f>
        <v>0</v>
      </c>
      <c r="G8" s="18"/>
      <c r="H8">
        <v>25</v>
      </c>
      <c r="I8">
        <f>ABS(H8-27)</f>
        <v>2</v>
      </c>
      <c r="J8">
        <f>ABS(H8-42)</f>
        <v>17</v>
      </c>
      <c r="K8">
        <f>ABS(H8-43)</f>
        <v>18</v>
      </c>
      <c r="L8" s="18"/>
      <c r="M8" s="18"/>
      <c r="N8" s="18"/>
    </row>
    <row r="9" spans="1:18" x14ac:dyDescent="0.2">
      <c r="A9" s="19"/>
      <c r="B9" s="27"/>
      <c r="G9" s="18"/>
      <c r="H9" s="18"/>
      <c r="I9" s="18" t="s">
        <v>36</v>
      </c>
      <c r="J9" s="18"/>
      <c r="K9" s="18"/>
      <c r="L9" s="18"/>
      <c r="M9" s="18"/>
      <c r="N9" s="18"/>
    </row>
    <row r="10" spans="1:18" x14ac:dyDescent="0.2">
      <c r="A10" s="19"/>
      <c r="B10" s="27"/>
      <c r="G10" s="18"/>
      <c r="H10" s="18"/>
      <c r="I10" s="18"/>
      <c r="J10" s="18"/>
      <c r="K10" s="18"/>
      <c r="L10" s="18"/>
      <c r="M10" s="18"/>
      <c r="N10" s="18"/>
    </row>
    <row r="11" spans="1:18" x14ac:dyDescent="0.2">
      <c r="D11" t="s">
        <v>22</v>
      </c>
      <c r="G11" s="18"/>
      <c r="H11" s="18"/>
      <c r="I11" s="18"/>
      <c r="J11" s="18"/>
      <c r="L11" s="18"/>
      <c r="M11" s="18"/>
      <c r="N11" s="18"/>
    </row>
    <row r="12" spans="1:18" x14ac:dyDescent="0.2">
      <c r="G12" s="18"/>
      <c r="H12" s="18"/>
      <c r="I12" s="18"/>
      <c r="J12" s="18"/>
      <c r="L12" s="18"/>
      <c r="M12" s="18"/>
      <c r="N12" s="18"/>
      <c r="O12" s="18"/>
      <c r="P12" s="18"/>
      <c r="Q12" s="18"/>
      <c r="R12" s="18"/>
    </row>
    <row r="13" spans="1:18" x14ac:dyDescent="0.2"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x14ac:dyDescent="0.2"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x14ac:dyDescent="0.2">
      <c r="I15" s="18"/>
      <c r="J15" s="18"/>
      <c r="K15" s="18"/>
      <c r="L15" s="18"/>
      <c r="M15" s="18"/>
      <c r="N15" s="18"/>
      <c r="O15" s="18"/>
      <c r="P15" s="34"/>
      <c r="Q15" s="18"/>
      <c r="R15" s="18"/>
    </row>
    <row r="16" spans="1:18" x14ac:dyDescent="0.2"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x14ac:dyDescent="0.2">
      <c r="A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x14ac:dyDescent="0.2">
      <c r="A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2">
      <c r="A19" s="26" t="s">
        <v>20</v>
      </c>
      <c r="K19" s="18"/>
      <c r="L19" s="18"/>
      <c r="M19" s="18"/>
      <c r="N19" s="18"/>
      <c r="O19" s="18"/>
      <c r="P19" s="18"/>
      <c r="Q19" s="18"/>
      <c r="R19" s="18"/>
    </row>
    <row r="20" spans="1:18" x14ac:dyDescent="0.2">
      <c r="A20" s="18"/>
      <c r="K20" s="18"/>
    </row>
    <row r="30" spans="1:18" x14ac:dyDescent="0.2">
      <c r="G30" s="19"/>
      <c r="H30" s="20"/>
      <c r="I30" s="18"/>
      <c r="J30" s="18"/>
      <c r="K30" s="18"/>
      <c r="L30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1F28-6D11-9D42-BF63-E88D980D70C1}">
  <dimension ref="A2:N37"/>
  <sheetViews>
    <sheetView topLeftCell="B1" zoomScale="150" workbookViewId="0">
      <selection activeCell="D7" sqref="D7"/>
    </sheetView>
  </sheetViews>
  <sheetFormatPr baseColWidth="10" defaultRowHeight="16" x14ac:dyDescent="0.2"/>
  <cols>
    <col min="1" max="1" width="26" customWidth="1"/>
    <col min="2" max="2" width="15.5" customWidth="1"/>
    <col min="4" max="4" width="17.5" customWidth="1"/>
  </cols>
  <sheetData>
    <row r="2" spans="1:11" x14ac:dyDescent="0.2">
      <c r="B2" s="8" t="s">
        <v>1</v>
      </c>
    </row>
    <row r="4" spans="1:11" x14ac:dyDescent="0.2">
      <c r="C4">
        <v>1</v>
      </c>
      <c r="D4" s="13"/>
      <c r="G4" s="32" t="s">
        <v>24</v>
      </c>
      <c r="H4" s="33"/>
      <c r="I4" s="18"/>
      <c r="J4" s="18"/>
    </row>
    <row r="5" spans="1:11" x14ac:dyDescent="0.2">
      <c r="B5" s="15" t="s">
        <v>0</v>
      </c>
      <c r="C5" s="15" t="s">
        <v>44</v>
      </c>
      <c r="D5" s="15" t="s">
        <v>21</v>
      </c>
      <c r="G5" s="18"/>
      <c r="H5" s="18"/>
      <c r="I5" s="18"/>
      <c r="J5" s="18"/>
    </row>
    <row r="6" spans="1:11" x14ac:dyDescent="0.2">
      <c r="A6">
        <v>1</v>
      </c>
      <c r="B6" s="15" t="s">
        <v>44</v>
      </c>
      <c r="C6" s="10">
        <f>SQRT((18-18)^2)</f>
        <v>0</v>
      </c>
      <c r="D6" s="10">
        <f>SQRT((42-18)^2)</f>
        <v>24</v>
      </c>
      <c r="G6" s="18"/>
      <c r="H6" s="18"/>
      <c r="I6" s="18"/>
      <c r="J6" s="18"/>
    </row>
    <row r="7" spans="1:11" x14ac:dyDescent="0.2">
      <c r="A7" s="13"/>
      <c r="B7" s="15" t="s">
        <v>21</v>
      </c>
      <c r="C7" s="10">
        <f>SQRT((42-18)^2)</f>
        <v>24</v>
      </c>
      <c r="D7" s="10">
        <f>SQRT((22-22)^2)</f>
        <v>0</v>
      </c>
      <c r="G7" s="35" t="s">
        <v>33</v>
      </c>
      <c r="H7" s="37" t="s">
        <v>25</v>
      </c>
      <c r="I7" s="37" t="s">
        <v>29</v>
      </c>
      <c r="J7" s="37" t="s">
        <v>30</v>
      </c>
      <c r="K7" s="35" t="s">
        <v>34</v>
      </c>
    </row>
    <row r="8" spans="1:11" x14ac:dyDescent="0.2">
      <c r="G8" s="18">
        <v>22</v>
      </c>
      <c r="H8" s="18">
        <f>ABS(27-G8)</f>
        <v>5</v>
      </c>
      <c r="I8" s="18">
        <f>ABS(42-G8)</f>
        <v>20</v>
      </c>
      <c r="J8" s="18">
        <f>ABS(43-G8)</f>
        <v>21</v>
      </c>
      <c r="K8">
        <f>ABS(25-22)</f>
        <v>3</v>
      </c>
    </row>
    <row r="9" spans="1:11" x14ac:dyDescent="0.2">
      <c r="G9" s="18"/>
      <c r="H9" s="18"/>
      <c r="I9" s="18"/>
      <c r="J9" s="18"/>
      <c r="K9" t="s">
        <v>35</v>
      </c>
    </row>
    <row r="10" spans="1:11" x14ac:dyDescent="0.2">
      <c r="G10" s="18"/>
      <c r="H10" s="18"/>
      <c r="I10" s="18"/>
      <c r="J10" s="18"/>
    </row>
    <row r="13" spans="1:11" x14ac:dyDescent="0.2">
      <c r="A13" s="18"/>
    </row>
    <row r="14" spans="1:11" x14ac:dyDescent="0.2">
      <c r="A14" s="18"/>
    </row>
    <row r="15" spans="1:11" x14ac:dyDescent="0.2">
      <c r="A15" s="18"/>
    </row>
    <row r="16" spans="1:11" x14ac:dyDescent="0.2">
      <c r="A16" s="18"/>
    </row>
    <row r="17" spans="1:14" x14ac:dyDescent="0.2">
      <c r="A17" s="26" t="s">
        <v>20</v>
      </c>
    </row>
    <row r="20" spans="1:14" x14ac:dyDescent="0.2">
      <c r="C20" s="4"/>
    </row>
    <row r="25" spans="1:14" x14ac:dyDescent="0.2">
      <c r="I25" s="18"/>
      <c r="J25" s="20"/>
      <c r="K25" s="18"/>
      <c r="L25" s="18"/>
      <c r="M25" s="18"/>
      <c r="N25" s="18"/>
    </row>
    <row r="26" spans="1:14" x14ac:dyDescent="0.2">
      <c r="I26" s="18"/>
      <c r="J26" s="18"/>
      <c r="K26" s="18"/>
      <c r="L26" s="18"/>
      <c r="M26" s="18"/>
      <c r="N26" s="18"/>
    </row>
    <row r="27" spans="1:14" x14ac:dyDescent="0.2">
      <c r="I27" s="18"/>
      <c r="J27" s="18"/>
      <c r="K27" s="18"/>
      <c r="L27" s="18"/>
      <c r="M27" s="19"/>
      <c r="N27" s="18"/>
    </row>
    <row r="28" spans="1:14" x14ac:dyDescent="0.2">
      <c r="I28" s="18"/>
      <c r="J28" s="20"/>
      <c r="K28" s="20"/>
      <c r="L28" s="20"/>
      <c r="M28" s="20"/>
      <c r="N28" s="18"/>
    </row>
    <row r="29" spans="1:14" x14ac:dyDescent="0.2">
      <c r="I29" s="18"/>
      <c r="J29" s="20"/>
      <c r="K29" s="18"/>
      <c r="L29" s="18"/>
      <c r="M29" s="18"/>
      <c r="N29" s="18"/>
    </row>
    <row r="30" spans="1:14" x14ac:dyDescent="0.2">
      <c r="I30" s="18"/>
      <c r="J30" s="20"/>
      <c r="K30" s="18"/>
      <c r="L30" s="18"/>
      <c r="M30" s="18"/>
      <c r="N30" s="18"/>
    </row>
    <row r="31" spans="1:14" x14ac:dyDescent="0.2">
      <c r="I31" s="19"/>
      <c r="J31" s="20"/>
      <c r="K31" s="18"/>
      <c r="L31" s="18"/>
      <c r="M31" s="18"/>
      <c r="N31" s="18"/>
    </row>
    <row r="32" spans="1:14" x14ac:dyDescent="0.2">
      <c r="I32" s="18"/>
      <c r="J32" s="18"/>
      <c r="K32" s="18"/>
      <c r="L32" s="18"/>
      <c r="M32" s="18"/>
      <c r="N32" s="18"/>
    </row>
    <row r="33" spans="9:14" x14ac:dyDescent="0.2">
      <c r="I33" s="18"/>
      <c r="J33" s="18"/>
      <c r="K33" s="18"/>
      <c r="L33" s="18"/>
      <c r="M33" s="18"/>
      <c r="N33" s="18"/>
    </row>
    <row r="34" spans="9:14" x14ac:dyDescent="0.2">
      <c r="I34" s="18"/>
      <c r="J34" s="18"/>
      <c r="K34" s="18"/>
      <c r="L34" s="18"/>
      <c r="M34" s="18"/>
      <c r="N34" s="18"/>
    </row>
    <row r="35" spans="9:14" x14ac:dyDescent="0.2">
      <c r="I35" s="18"/>
      <c r="J35" s="18"/>
      <c r="K35" s="18"/>
      <c r="L35" s="18"/>
      <c r="M35" s="18"/>
      <c r="N35" s="18"/>
    </row>
    <row r="36" spans="9:14" x14ac:dyDescent="0.2">
      <c r="I36" s="18"/>
      <c r="J36" s="18"/>
      <c r="K36" s="18"/>
      <c r="L36" s="18"/>
      <c r="M36" s="18"/>
      <c r="N36" s="18"/>
    </row>
    <row r="37" spans="9:14" x14ac:dyDescent="0.2">
      <c r="I37" s="18"/>
      <c r="J37" s="18"/>
      <c r="K37" s="18"/>
      <c r="L37" s="18"/>
      <c r="M37" s="18"/>
      <c r="N37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2328-B30E-C843-B03B-DE2E228151DF}">
  <dimension ref="A1:M25"/>
  <sheetViews>
    <sheetView zoomScale="90" zoomScaleNormal="90" workbookViewId="0">
      <selection activeCell="U24" sqref="U24"/>
    </sheetView>
  </sheetViews>
  <sheetFormatPr baseColWidth="10" defaultRowHeight="16" x14ac:dyDescent="0.2"/>
  <cols>
    <col min="1" max="1" width="24.33203125" customWidth="1"/>
    <col min="2" max="2" width="32.1640625" customWidth="1"/>
    <col min="3" max="3" width="19.83203125" customWidth="1"/>
  </cols>
  <sheetData>
    <row r="1" spans="1:11" x14ac:dyDescent="0.2">
      <c r="B1" s="11" t="s">
        <v>1</v>
      </c>
    </row>
    <row r="4" spans="1:11" x14ac:dyDescent="0.2">
      <c r="C4" s="19" t="s">
        <v>26</v>
      </c>
    </row>
    <row r="5" spans="1:11" x14ac:dyDescent="0.2">
      <c r="B5" s="15" t="s">
        <v>0</v>
      </c>
      <c r="C5" s="15" t="s">
        <v>27</v>
      </c>
      <c r="F5" s="32" t="s">
        <v>24</v>
      </c>
      <c r="G5" s="33"/>
      <c r="H5" s="18"/>
      <c r="I5" s="18"/>
      <c r="J5" s="18"/>
    </row>
    <row r="6" spans="1:11" x14ac:dyDescent="0.2">
      <c r="A6" s="13" t="s">
        <v>26</v>
      </c>
      <c r="B6" s="15" t="s">
        <v>27</v>
      </c>
      <c r="C6" s="6">
        <v>0</v>
      </c>
      <c r="F6" s="18"/>
      <c r="G6" s="18"/>
      <c r="H6" s="18"/>
      <c r="I6" s="18"/>
      <c r="J6" s="18"/>
    </row>
    <row r="7" spans="1:11" x14ac:dyDescent="0.2">
      <c r="F7" s="18"/>
      <c r="G7" s="18"/>
      <c r="H7" s="18"/>
      <c r="I7" s="18"/>
      <c r="J7" s="18"/>
    </row>
    <row r="8" spans="1:11" x14ac:dyDescent="0.2">
      <c r="F8" s="35" t="s">
        <v>39</v>
      </c>
      <c r="G8" s="37" t="s">
        <v>25</v>
      </c>
      <c r="H8" s="37" t="s">
        <v>29</v>
      </c>
      <c r="I8" s="37" t="s">
        <v>30</v>
      </c>
      <c r="J8" s="37" t="s">
        <v>34</v>
      </c>
      <c r="K8" s="35" t="s">
        <v>40</v>
      </c>
    </row>
    <row r="9" spans="1:11" x14ac:dyDescent="0.2">
      <c r="F9" s="18">
        <v>18</v>
      </c>
      <c r="G9" s="18">
        <f>ABS(F9-27)</f>
        <v>9</v>
      </c>
      <c r="H9" s="18">
        <f>ABS(F9-42)</f>
        <v>24</v>
      </c>
      <c r="I9" s="18">
        <f>ABS(F9-43)</f>
        <v>25</v>
      </c>
      <c r="J9" s="18">
        <f>ABS(F9-25)</f>
        <v>7</v>
      </c>
      <c r="K9">
        <f>ABS(F9-22)</f>
        <v>4</v>
      </c>
    </row>
    <row r="10" spans="1:11" x14ac:dyDescent="0.2">
      <c r="F10" s="18"/>
      <c r="G10" s="18"/>
      <c r="H10" s="18"/>
      <c r="I10" s="18"/>
      <c r="J10" s="18"/>
      <c r="K10" t="s">
        <v>41</v>
      </c>
    </row>
    <row r="18" spans="9:13" x14ac:dyDescent="0.2">
      <c r="I18" s="18"/>
      <c r="J18" s="18"/>
      <c r="K18" s="18"/>
      <c r="L18" s="18"/>
      <c r="M18" s="18"/>
    </row>
    <row r="19" spans="9:13" x14ac:dyDescent="0.2">
      <c r="I19" s="18"/>
      <c r="J19" s="18"/>
      <c r="K19" s="18"/>
      <c r="L19" s="18"/>
      <c r="M19" s="18"/>
    </row>
    <row r="20" spans="9:13" x14ac:dyDescent="0.2">
      <c r="I20" s="18"/>
      <c r="J20" s="18"/>
      <c r="K20" s="18"/>
      <c r="L20" s="18"/>
      <c r="M20" s="18"/>
    </row>
    <row r="21" spans="9:13" x14ac:dyDescent="0.2">
      <c r="I21" s="18"/>
      <c r="J21" s="18"/>
      <c r="K21" s="18"/>
      <c r="L21" s="19"/>
      <c r="M21" s="18"/>
    </row>
    <row r="22" spans="9:13" x14ac:dyDescent="0.2">
      <c r="I22" s="18"/>
      <c r="J22" s="20"/>
      <c r="K22" s="20"/>
      <c r="L22" s="20"/>
      <c r="M22" s="18"/>
    </row>
    <row r="23" spans="9:13" x14ac:dyDescent="0.2">
      <c r="I23" s="18"/>
      <c r="J23" s="20"/>
      <c r="K23" s="18"/>
      <c r="L23" s="18"/>
      <c r="M23" s="18"/>
    </row>
    <row r="24" spans="9:13" x14ac:dyDescent="0.2">
      <c r="I24" s="19"/>
      <c r="J24" s="20"/>
      <c r="K24" s="18"/>
      <c r="L24" s="18"/>
      <c r="M24" s="18"/>
    </row>
    <row r="25" spans="9:13" x14ac:dyDescent="0.2">
      <c r="I25" s="18"/>
      <c r="J25" s="18"/>
      <c r="K25" s="18"/>
      <c r="L25" s="18"/>
      <c r="M25" s="1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8CCF-045E-4D4E-9965-B7D5A72007A7}">
  <dimension ref="A1:B8"/>
  <sheetViews>
    <sheetView zoomScale="75" workbookViewId="0">
      <selection activeCell="E17" sqref="E17"/>
    </sheetView>
  </sheetViews>
  <sheetFormatPr baseColWidth="10" defaultRowHeight="16" x14ac:dyDescent="0.2"/>
  <sheetData>
    <row r="1" spans="1:2" x14ac:dyDescent="0.2">
      <c r="B1" s="2" t="s">
        <v>6</v>
      </c>
    </row>
    <row r="2" spans="1:2" x14ac:dyDescent="0.2">
      <c r="A2" s="5" t="s">
        <v>5</v>
      </c>
      <c r="B2" t="s">
        <v>7</v>
      </c>
    </row>
    <row r="3" spans="1:2" x14ac:dyDescent="0.2">
      <c r="A3" s="5" t="s">
        <v>8</v>
      </c>
      <c r="B3" t="s">
        <v>9</v>
      </c>
    </row>
    <row r="4" spans="1:2" x14ac:dyDescent="0.2">
      <c r="A4" s="5" t="s">
        <v>10</v>
      </c>
      <c r="B4" t="s">
        <v>9</v>
      </c>
    </row>
    <row r="5" spans="1:2" x14ac:dyDescent="0.2">
      <c r="A5" s="5" t="s">
        <v>11</v>
      </c>
      <c r="B5" t="s">
        <v>9</v>
      </c>
    </row>
    <row r="6" spans="1:2" x14ac:dyDescent="0.2">
      <c r="A6" s="5" t="s">
        <v>12</v>
      </c>
      <c r="B6" t="s">
        <v>9</v>
      </c>
    </row>
    <row r="7" spans="1:2" x14ac:dyDescent="0.2">
      <c r="A7" s="5" t="s">
        <v>13</v>
      </c>
      <c r="B7" t="s">
        <v>14</v>
      </c>
    </row>
    <row r="8" spans="1:2" x14ac:dyDescent="0.2">
      <c r="A8" s="5" t="s">
        <v>15</v>
      </c>
      <c r="B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step 1</vt:lpstr>
      <vt:lpstr>step 2</vt:lpstr>
      <vt:lpstr>step 3</vt:lpstr>
      <vt:lpstr>step 4</vt:lpstr>
      <vt:lpstr>step 5</vt:lpstr>
      <vt:lpstr>step 6 (final step)</vt:lpstr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Kos, Nathaly M</cp:lastModifiedBy>
  <dcterms:created xsi:type="dcterms:W3CDTF">2023-03-29T15:33:46Z</dcterms:created>
  <dcterms:modified xsi:type="dcterms:W3CDTF">2025-04-26T01:30:41Z</dcterms:modified>
</cp:coreProperties>
</file>