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jit0-my.sharepoint.com/personal/mp352_njit_edu/Documents/"/>
    </mc:Choice>
  </mc:AlternateContent>
  <xr:revisionPtr revIDLastSave="0" documentId="8_{E7DA1E21-8D4F-40EE-AF18-59654EF9BEE6}" xr6:coauthVersionLast="47" xr6:coauthVersionMax="47" xr10:uidLastSave="{00000000-0000-0000-0000-000000000000}"/>
  <bookViews>
    <workbookView xWindow="11680" yWindow="500" windowWidth="13920" windowHeight="14580" firstSheet="2" activeTab="2" xr2:uid="{CB5A8443-A103-3744-BCE9-29B50AA16018}"/>
  </bookViews>
  <sheets>
    <sheet name="kMeans-Iteration1" sheetId="2" r:id="rId1"/>
    <sheet name="kMeans-Iteration2 " sheetId="4" r:id="rId2"/>
    <sheet name="kMeans-Iteration3" sheetId="5" r:id="rId3"/>
    <sheet name="Rubric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V4" i="4" a="1"/>
  <c r="V4" i="4" s="1"/>
  <c r="K9" i="5"/>
  <c r="K8" i="5"/>
  <c r="K7" i="5"/>
  <c r="K6" i="5"/>
  <c r="G9" i="5"/>
  <c r="G8" i="5"/>
  <c r="G7" i="5"/>
  <c r="G6" i="5"/>
  <c r="G5" i="5"/>
  <c r="G5" i="4"/>
  <c r="T4" i="2"/>
  <c r="S4" i="2"/>
  <c r="R4" i="2"/>
  <c r="P4" i="2"/>
  <c r="N4" i="2"/>
  <c r="O4" i="2"/>
  <c r="W4" i="4"/>
  <c r="S4" i="4"/>
  <c r="Q4" i="4"/>
  <c r="R4" i="4"/>
  <c r="U4" i="4"/>
  <c r="K9" i="4"/>
  <c r="K8" i="4"/>
  <c r="K7" i="4"/>
  <c r="K6" i="4"/>
  <c r="K5" i="4"/>
  <c r="G9" i="4"/>
  <c r="G8" i="4"/>
  <c r="G7" i="4"/>
  <c r="G6" i="4"/>
  <c r="K9" i="2"/>
  <c r="K8" i="2"/>
  <c r="K7" i="2"/>
  <c r="K5" i="2"/>
  <c r="K6" i="2"/>
  <c r="G5" i="2"/>
  <c r="G9" i="2"/>
  <c r="G8" i="2"/>
  <c r="G7" i="2"/>
  <c r="G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<sst xmlns="http://schemas.openxmlformats.org/spreadsheetml/2006/main" count="109" uniqueCount="48">
  <si>
    <t>Data Point</t>
  </si>
  <si>
    <t>Distance to (Using Manhattan Distance)</t>
  </si>
  <si>
    <t>Cluster</t>
  </si>
  <si>
    <t>Calculation new centroids</t>
  </si>
  <si>
    <t>x1</t>
  </si>
  <si>
    <t>y1</t>
  </si>
  <si>
    <t>z1</t>
  </si>
  <si>
    <t>x2</t>
  </si>
  <si>
    <t>y2</t>
  </si>
  <si>
    <t>z2</t>
  </si>
  <si>
    <t>C1: (1,0,0)</t>
  </si>
  <si>
    <t>C2: (0,1,1)</t>
  </si>
  <si>
    <t>x</t>
  </si>
  <si>
    <t>y</t>
  </si>
  <si>
    <t>z</t>
  </si>
  <si>
    <t>P1: (1,2,3)</t>
  </si>
  <si>
    <t>P2: (0,1,2)</t>
  </si>
  <si>
    <t>P3: (3,0,5)</t>
  </si>
  <si>
    <t>P4: (4,1,3)</t>
  </si>
  <si>
    <t>P5: (5,0,1)</t>
  </si>
  <si>
    <t>initial centroids:</t>
  </si>
  <si>
    <t>new centroids:</t>
  </si>
  <si>
    <t xml:space="preserve">C1: </t>
  </si>
  <si>
    <t>(4,0,3)</t>
  </si>
  <si>
    <t>C2:</t>
  </si>
  <si>
    <t>(1.67,1.33,2.67)</t>
  </si>
  <si>
    <t>Manhatan distance formula (L1):</t>
  </si>
  <si>
    <t>find the disance between (0,1,2) and (1,0,0):</t>
  </si>
  <si>
    <t>|0-1|+|1-0|+|2-0| = 1+1+2 = 4</t>
  </si>
  <si>
    <t>Previous Cluster</t>
  </si>
  <si>
    <t>New Cluster</t>
  </si>
  <si>
    <t>C1: (4,0,3)</t>
  </si>
  <si>
    <t>C2:( (1.67,1.33,2.67)</t>
  </si>
  <si>
    <t>C1: 4,0,3)</t>
  </si>
  <si>
    <t>C2:(1.67,1.33,2.67)</t>
  </si>
  <si>
    <t>current centroids:</t>
  </si>
  <si>
    <t xml:space="preserve">C1:  </t>
  </si>
  <si>
    <t xml:space="preserve">C2: </t>
  </si>
  <si>
    <t>C1:</t>
  </si>
  <si>
    <t>C1: (4,0.33,3)</t>
  </si>
  <si>
    <t>C2:( 0.5,1.5,2.5)</t>
  </si>
  <si>
    <t>Distance to (Using Eucledian Distance)</t>
  </si>
  <si>
    <t>(4,0.33,3)</t>
  </si>
  <si>
    <t>( 0.5,1.5,2.5)</t>
  </si>
  <si>
    <t>points</t>
  </si>
  <si>
    <t>slide1:</t>
  </si>
  <si>
    <t>slide2:</t>
  </si>
  <si>
    <t>slide3: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</si>
</sst>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 (Body)"/>
    </font>
    <font>
      <b/>
      <sz val="12"/>
      <color theme="5"/>
      <name val="Calibri"/>
      <family val="2"/>
      <scheme val="minor"/>
    </font>
    <font>
      <b/>
      <sz val="12"/>
      <color rgb="FFED7D3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 vertical="center"/>
    </xf>
    <xf numFmtId="0" fontId="0" fillId="6" borderId="4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 applyAlignment="1">
      <alignment horizontal="center" vertical="center"/>
    </xf>
    <xf numFmtId="0" fontId="0" fillId="7" borderId="1" xfId="0" applyFill="1" applyBorder="1"/>
    <xf numFmtId="0" fontId="1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 vertical="center"/>
    </xf>
    <xf numFmtId="0" fontId="3" fillId="9" borderId="1" xfId="0" applyFont="1" applyFill="1" applyBorder="1"/>
    <xf numFmtId="0" fontId="3" fillId="10" borderId="5" xfId="0" applyFont="1" applyFill="1" applyBorder="1"/>
    <xf numFmtId="0" fontId="3" fillId="11" borderId="0" xfId="0" applyFont="1" applyFill="1"/>
    <xf numFmtId="0" fontId="7" fillId="0" borderId="0" xfId="0" applyFont="1"/>
    <xf numFmtId="0" fontId="7" fillId="12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5" xfId="0" applyFont="1" applyFill="1" applyBorder="1"/>
    <xf numFmtId="0" fontId="3" fillId="13" borderId="1" xfId="0" applyFont="1" applyFill="1" applyBorder="1"/>
    <xf numFmtId="0" fontId="3" fillId="13" borderId="6" xfId="0" applyFont="1" applyFill="1" applyBorder="1"/>
    <xf numFmtId="0" fontId="3" fillId="13" borderId="5" xfId="0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4" borderId="1" xfId="0" applyFill="1" applyBorder="1"/>
    <xf numFmtId="0" fontId="0" fillId="15" borderId="1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3" fillId="12" borderId="1" xfId="0" applyFont="1" applyFill="1" applyBorder="1"/>
    <xf numFmtId="0" fontId="0" fillId="16" borderId="1" xfId="0" applyFill="1" applyBorder="1"/>
    <xf numFmtId="0" fontId="3" fillId="9" borderId="4" xfId="0" applyFont="1" applyFill="1" applyBorder="1"/>
    <xf numFmtId="0" fontId="3" fillId="17" borderId="4" xfId="0" applyFont="1" applyFill="1" applyBorder="1"/>
    <xf numFmtId="0" fontId="3" fillId="5" borderId="1" xfId="0" applyFont="1" applyFill="1" applyBorder="1"/>
    <xf numFmtId="0" fontId="3" fillId="5" borderId="4" xfId="0" applyFont="1" applyFill="1" applyBorder="1"/>
    <xf numFmtId="0" fontId="3" fillId="16" borderId="4" xfId="0" applyFont="1" applyFill="1" applyBorder="1"/>
    <xf numFmtId="0" fontId="3" fillId="0" borderId="1" xfId="0" applyFont="1" applyBorder="1"/>
    <xf numFmtId="0" fontId="3" fillId="16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7" fillId="12" borderId="1" xfId="0" applyFont="1" applyFill="1" applyBorder="1"/>
    <xf numFmtId="0" fontId="7" fillId="8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C586-6215-9948-882B-AE236D1DAB01}">
  <dimension ref="A1:T34"/>
  <sheetViews>
    <sheetView topLeftCell="A3" zoomScale="94" zoomScaleNormal="120" workbookViewId="0">
      <selection activeCell="T5" sqref="T5"/>
    </sheetView>
  </sheetViews>
  <sheetFormatPr defaultColWidth="11" defaultRowHeight="15.95"/>
  <cols>
    <col min="1" max="1" width="14.5" customWidth="1"/>
    <col min="2" max="2" width="14.125" customWidth="1"/>
    <col min="3" max="3" width="12" customWidth="1"/>
    <col min="4" max="4" width="25" customWidth="1"/>
    <col min="5" max="5" width="16.875" customWidth="1"/>
    <col min="6" max="6" width="11.125" customWidth="1"/>
    <col min="13" max="13" width="11.375" customWidth="1"/>
    <col min="14" max="14" width="13.625" customWidth="1"/>
    <col min="15" max="15" width="25.875" customWidth="1"/>
    <col min="16" max="16" width="14.5" customWidth="1"/>
    <col min="18" max="18" width="8.125" customWidth="1"/>
    <col min="19" max="19" width="23.5" customWidth="1"/>
  </cols>
  <sheetData>
    <row r="1" spans="1:20">
      <c r="A1" s="47" t="s">
        <v>0</v>
      </c>
      <c r="F1" s="1" t="s">
        <v>1</v>
      </c>
      <c r="G1" s="1"/>
      <c r="H1" s="1"/>
      <c r="I1" s="23" t="s">
        <v>2</v>
      </c>
      <c r="O1" s="18" t="s">
        <v>3</v>
      </c>
      <c r="S1" s="18" t="s">
        <v>3</v>
      </c>
    </row>
    <row r="2" spans="1:20">
      <c r="B2" s="16" t="s">
        <v>4</v>
      </c>
      <c r="C2" s="16" t="s">
        <v>5</v>
      </c>
      <c r="D2" s="16" t="s">
        <v>6</v>
      </c>
      <c r="F2" s="16" t="s">
        <v>7</v>
      </c>
      <c r="G2" s="16" t="s">
        <v>8</v>
      </c>
      <c r="H2" s="16" t="s">
        <v>9</v>
      </c>
      <c r="J2" s="16" t="s">
        <v>7</v>
      </c>
      <c r="K2" s="16" t="s">
        <v>8</v>
      </c>
      <c r="L2" s="16" t="s">
        <v>9</v>
      </c>
      <c r="O2" s="11" t="s">
        <v>10</v>
      </c>
      <c r="S2" s="21" t="s">
        <v>11</v>
      </c>
    </row>
    <row r="3" spans="1:20">
      <c r="G3" s="12" t="s">
        <v>10</v>
      </c>
      <c r="K3" s="20" t="s">
        <v>11</v>
      </c>
      <c r="N3" s="16" t="s">
        <v>12</v>
      </c>
      <c r="O3" s="16" t="s">
        <v>13</v>
      </c>
      <c r="P3" s="16" t="s">
        <v>14</v>
      </c>
      <c r="R3" s="16" t="s">
        <v>12</v>
      </c>
      <c r="S3" s="16" t="s">
        <v>13</v>
      </c>
      <c r="T3" s="16" t="s">
        <v>14</v>
      </c>
    </row>
    <row r="4" spans="1:20">
      <c r="F4" s="13">
        <v>1</v>
      </c>
      <c r="G4" s="13">
        <v>0</v>
      </c>
      <c r="H4" s="13">
        <v>0</v>
      </c>
      <c r="J4" s="14">
        <v>0</v>
      </c>
      <c r="K4" s="19">
        <v>1</v>
      </c>
      <c r="L4" s="14">
        <v>1</v>
      </c>
      <c r="N4" s="11">
        <f>SUM(B7+B9)/COUNT(B7,B9)</f>
        <v>4</v>
      </c>
      <c r="O4" s="11">
        <f>SUM(C7+C9)/COUNT(C7,C9)</f>
        <v>0</v>
      </c>
      <c r="P4" s="11">
        <f>SUM(D7+D9)/COUNT(D7,D9)</f>
        <v>3</v>
      </c>
      <c r="R4" s="21">
        <f>SUM(B5+B6+B8)/COUNT(B5:B6,B8)</f>
        <v>1.6666666666666667</v>
      </c>
      <c r="S4" s="21">
        <f>SUM(C5+C6+C8)/COUNT(C5:C6,C8)</f>
        <v>1.3333333333333333</v>
      </c>
      <c r="T4" s="21">
        <f>SUM(D5+D6+D8)/COUNT(D5:D6,D8)</f>
        <v>2.6666666666666665</v>
      </c>
    </row>
    <row r="5" spans="1:20">
      <c r="A5" s="15" t="s">
        <v>15</v>
      </c>
      <c r="B5" s="48">
        <v>1</v>
      </c>
      <c r="C5" s="48">
        <v>2</v>
      </c>
      <c r="D5" s="48">
        <v>3</v>
      </c>
      <c r="G5">
        <f>ABS(B5-F4)+ABS(C5-G4)+ABS(D5-H4)</f>
        <v>5</v>
      </c>
      <c r="I5" s="24">
        <v>2</v>
      </c>
      <c r="K5">
        <f>ABS(B5-J4)+ABS(C5-K4)+ABS(D5-L4)</f>
        <v>4</v>
      </c>
    </row>
    <row r="6" spans="1:20">
      <c r="A6" s="9" t="s">
        <v>16</v>
      </c>
      <c r="B6" s="48">
        <v>0</v>
      </c>
      <c r="C6" s="48">
        <v>1</v>
      </c>
      <c r="D6" s="48">
        <v>2</v>
      </c>
      <c r="G6">
        <f>ABS(B6-F4)+ABS(C6-G4)+ABS(D6-H4)</f>
        <v>4</v>
      </c>
      <c r="I6" s="24">
        <v>2</v>
      </c>
      <c r="K6">
        <f>ABS(B6-J4)+ABS(C6-K4)+ABS(D6-L4)</f>
        <v>1</v>
      </c>
    </row>
    <row r="7" spans="1:20">
      <c r="A7" s="9" t="s">
        <v>17</v>
      </c>
      <c r="B7" s="52">
        <v>3</v>
      </c>
      <c r="C7" s="52">
        <v>0</v>
      </c>
      <c r="D7" s="52">
        <v>5</v>
      </c>
      <c r="G7">
        <f>ABS(B7-F4)+ABS(C7-G4)+ABS(D7-H4)</f>
        <v>7</v>
      </c>
      <c r="I7" s="52">
        <v>1</v>
      </c>
      <c r="K7">
        <f>ABS(B7-J4)+ABS(C7-K4)+ABS(D7-L4)</f>
        <v>8</v>
      </c>
    </row>
    <row r="8" spans="1:20">
      <c r="A8" s="9" t="s">
        <v>18</v>
      </c>
      <c r="B8" s="48">
        <v>4</v>
      </c>
      <c r="C8" s="48">
        <v>1</v>
      </c>
      <c r="D8" s="48">
        <v>3</v>
      </c>
      <c r="G8">
        <f>ABS(B8-F4)+ABS(C8-G4)+ABS(D8-H4)</f>
        <v>7</v>
      </c>
      <c r="I8" s="24">
        <v>2</v>
      </c>
      <c r="K8">
        <f>ABS(B8-J4)+ABS(C8-K4)+ABS(D8-L4)</f>
        <v>6</v>
      </c>
    </row>
    <row r="9" spans="1:20">
      <c r="A9" s="10" t="s">
        <v>19</v>
      </c>
      <c r="B9" s="52">
        <v>5</v>
      </c>
      <c r="C9" s="52">
        <v>0</v>
      </c>
      <c r="D9" s="52">
        <v>1</v>
      </c>
      <c r="G9">
        <f>ABS(B9-F4)+ABS(C9-G4)+ABS(D9-H4)</f>
        <v>5</v>
      </c>
      <c r="I9" s="52">
        <v>1</v>
      </c>
      <c r="K9">
        <f>ABS(B9-J4)+ABS(C9-K4)+ABS(D9-L4)</f>
        <v>6</v>
      </c>
    </row>
    <row r="21" spans="1:3">
      <c r="A21" s="17" t="s">
        <v>20</v>
      </c>
    </row>
    <row r="22" spans="1:3">
      <c r="A22" s="49" t="s">
        <v>10</v>
      </c>
    </row>
    <row r="23" spans="1:3">
      <c r="A23" s="50" t="s">
        <v>11</v>
      </c>
    </row>
    <row r="26" spans="1:3">
      <c r="A26" s="17" t="s">
        <v>21</v>
      </c>
    </row>
    <row r="27" spans="1:3">
      <c r="A27" s="4" t="s">
        <v>22</v>
      </c>
      <c r="B27" s="12" t="s">
        <v>23</v>
      </c>
    </row>
    <row r="28" spans="1:3">
      <c r="A28" s="4" t="s">
        <v>24</v>
      </c>
      <c r="B28" s="20" t="s">
        <v>25</v>
      </c>
    </row>
    <row r="29" spans="1:3">
      <c r="A29" s="4"/>
    </row>
    <row r="32" spans="1:3">
      <c r="A32" s="5" t="s">
        <v>26</v>
      </c>
      <c r="B32" s="5"/>
      <c r="C32" s="5"/>
    </row>
    <row r="33" spans="1:1">
      <c r="A33" t="s">
        <v>27</v>
      </c>
    </row>
    <row r="34" spans="1:1">
      <c r="A3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603A-14D5-024E-89EB-36120A6B34CD}">
  <dimension ref="A1:W19"/>
  <sheetViews>
    <sheetView topLeftCell="A10" zoomScale="150" zoomScaleNormal="85" workbookViewId="0">
      <selection activeCell="C20" sqref="C20"/>
    </sheetView>
  </sheetViews>
  <sheetFormatPr defaultColWidth="11" defaultRowHeight="15.95"/>
  <cols>
    <col min="1" max="1" width="14.5" customWidth="1"/>
    <col min="2" max="2" width="14.625" customWidth="1"/>
    <col min="3" max="3" width="17.125" bestFit="1" customWidth="1"/>
    <col min="4" max="4" width="15.375" customWidth="1"/>
    <col min="5" max="5" width="13" customWidth="1"/>
    <col min="6" max="6" width="9.5" customWidth="1"/>
    <col min="7" max="7" width="15.625" customWidth="1"/>
    <col min="8" max="8" width="10.875" customWidth="1"/>
    <col min="10" max="10" width="7.5" customWidth="1"/>
    <col min="11" max="11" width="20.875" customWidth="1"/>
    <col min="13" max="13" width="15.125" customWidth="1"/>
    <col min="14" max="14" width="15.5" customWidth="1"/>
    <col min="15" max="15" width="12" customWidth="1"/>
    <col min="16" max="16" width="8" customWidth="1"/>
    <col min="17" max="17" width="18" customWidth="1"/>
    <col min="18" max="18" width="25.875" customWidth="1"/>
    <col min="20" max="20" width="9.375" customWidth="1"/>
    <col min="21" max="21" width="19.125" customWidth="1"/>
    <col min="22" max="22" width="22" customWidth="1"/>
  </cols>
  <sheetData>
    <row r="1" spans="1:23">
      <c r="H1" s="5"/>
      <c r="I1" s="25" t="s">
        <v>1</v>
      </c>
      <c r="J1" s="25"/>
      <c r="N1" s="24" t="s">
        <v>29</v>
      </c>
      <c r="O1" s="26" t="s">
        <v>30</v>
      </c>
      <c r="R1" s="18" t="s">
        <v>3</v>
      </c>
      <c r="V1" s="18" t="s">
        <v>3</v>
      </c>
    </row>
    <row r="2" spans="1:23">
      <c r="A2" s="1" t="s">
        <v>0</v>
      </c>
      <c r="B2" s="22" t="s">
        <v>4</v>
      </c>
      <c r="C2" s="22" t="s">
        <v>5</v>
      </c>
      <c r="D2" s="22" t="s">
        <v>6</v>
      </c>
      <c r="F2" s="16" t="s">
        <v>7</v>
      </c>
      <c r="G2" s="16" t="s">
        <v>8</v>
      </c>
      <c r="H2" s="16" t="s">
        <v>9</v>
      </c>
      <c r="J2" s="16" t="s">
        <v>7</v>
      </c>
      <c r="K2" s="16" t="s">
        <v>8</v>
      </c>
      <c r="L2" s="16" t="s">
        <v>9</v>
      </c>
      <c r="R2" s="64" t="s">
        <v>31</v>
      </c>
      <c r="V2" s="27" t="s">
        <v>32</v>
      </c>
    </row>
    <row r="3" spans="1:23">
      <c r="A3" s="1"/>
      <c r="G3" s="64" t="s">
        <v>33</v>
      </c>
      <c r="K3" s="27" t="s">
        <v>34</v>
      </c>
      <c r="Q3" s="16" t="s">
        <v>12</v>
      </c>
      <c r="R3" s="16" t="s">
        <v>13</v>
      </c>
      <c r="S3" s="16" t="s">
        <v>14</v>
      </c>
      <c r="U3" s="16" t="s">
        <v>12</v>
      </c>
      <c r="V3" s="16" t="s">
        <v>13</v>
      </c>
      <c r="W3" s="16" t="s">
        <v>14</v>
      </c>
    </row>
    <row r="4" spans="1:23">
      <c r="F4" s="13">
        <v>4</v>
      </c>
      <c r="G4" s="13">
        <v>0</v>
      </c>
      <c r="H4" s="13">
        <v>3</v>
      </c>
      <c r="J4" s="14">
        <v>1.67</v>
      </c>
      <c r="K4" s="19">
        <v>1.33</v>
      </c>
      <c r="L4" s="14">
        <v>2.67</v>
      </c>
      <c r="Q4" s="28">
        <f>SUM(B7:B9)/COUNT(B7:B9)</f>
        <v>4</v>
      </c>
      <c r="R4" s="28">
        <f>SUM(C7:C9)/COUNT(C7:C9)</f>
        <v>0.33333333333333331</v>
      </c>
      <c r="S4" s="29">
        <f>SUM(D7:D9)/COUNT(D7:D9)</f>
        <v>3</v>
      </c>
      <c r="U4" s="21">
        <f>SUM(B5:B6)/COUNT(B5:B6)</f>
        <v>0.5</v>
      </c>
      <c r="V4" s="21" cm="1">
        <f t="array" ref="V4">SUM((C5:C6)/COUNT(C5:C6))</f>
        <v>1.5</v>
      </c>
      <c r="W4" s="21">
        <f>SUM(D5:D6)/COUNT(D5:D6)</f>
        <v>2.5</v>
      </c>
    </row>
    <row r="5" spans="1:23">
      <c r="A5" s="15" t="s">
        <v>15</v>
      </c>
      <c r="B5" s="24">
        <v>1</v>
      </c>
      <c r="C5" s="24">
        <v>2</v>
      </c>
      <c r="D5" s="24">
        <v>3</v>
      </c>
      <c r="G5">
        <f>ABS(B5-F4)+ABS(C5-G4)+ABS(D5-H4)</f>
        <v>5</v>
      </c>
      <c r="K5">
        <f>ABS(B5-J4)+ABS(C5-K4)+ABS(D5-L4)</f>
        <v>1.67</v>
      </c>
      <c r="N5" s="32">
        <v>2</v>
      </c>
      <c r="O5" s="55">
        <v>2</v>
      </c>
    </row>
    <row r="6" spans="1:23">
      <c r="A6" s="15" t="s">
        <v>16</v>
      </c>
      <c r="B6" s="24">
        <v>0</v>
      </c>
      <c r="C6" s="24">
        <v>1</v>
      </c>
      <c r="D6" s="24">
        <v>2</v>
      </c>
      <c r="G6">
        <f>ABS(B6-F4)+ABS(C6-G4)+ABS(D6-H4)</f>
        <v>6</v>
      </c>
      <c r="K6">
        <f>ABS(B6-J4)+ABS(C6-K4)+ABS(D6-L4)</f>
        <v>2.67</v>
      </c>
      <c r="N6" s="53">
        <v>2</v>
      </c>
      <c r="O6" s="56">
        <v>2</v>
      </c>
    </row>
    <row r="7" spans="1:23">
      <c r="A7" s="15" t="s">
        <v>17</v>
      </c>
      <c r="B7" s="52">
        <v>3</v>
      </c>
      <c r="C7" s="52">
        <v>0</v>
      </c>
      <c r="D7" s="52">
        <v>5</v>
      </c>
      <c r="G7">
        <f>ABS(B7-F4)+ABS(C7-G4)+(D7-H4)</f>
        <v>3</v>
      </c>
      <c r="K7">
        <f>ABS(B7-J4)+ABS(C7-K4)+ABS(D7-L4)</f>
        <v>4.99</v>
      </c>
      <c r="N7" s="54">
        <v>1</v>
      </c>
      <c r="O7" s="54">
        <v>1</v>
      </c>
    </row>
    <row r="8" spans="1:23">
      <c r="A8" s="15" t="s">
        <v>18</v>
      </c>
      <c r="B8" s="52">
        <v>4</v>
      </c>
      <c r="C8" s="52">
        <v>1</v>
      </c>
      <c r="D8" s="52">
        <v>3</v>
      </c>
      <c r="G8">
        <f>ABS(B8-F4)+ABS(C8-G4)+ABS(D8-H4)</f>
        <v>1</v>
      </c>
      <c r="K8">
        <f>ABS(B8-J4)+ABS(C8-K4)+ABS(D8-L4)</f>
        <v>2.99</v>
      </c>
      <c r="N8" s="53">
        <v>2</v>
      </c>
      <c r="O8" s="57">
        <v>1</v>
      </c>
    </row>
    <row r="9" spans="1:23">
      <c r="A9" s="15" t="s">
        <v>19</v>
      </c>
      <c r="B9" s="52">
        <v>5</v>
      </c>
      <c r="C9" s="52">
        <v>0</v>
      </c>
      <c r="D9" s="52">
        <v>1</v>
      </c>
      <c r="G9">
        <f>ABS(B9-F4)+ABS(C9-G4)+ABS(D9-H4)</f>
        <v>3</v>
      </c>
      <c r="K9">
        <f>ABS(B9-J4)+ABS(C9-K4)+ABS(D9-L4)</f>
        <v>6.33</v>
      </c>
      <c r="N9" s="54">
        <v>1</v>
      </c>
      <c r="O9" s="57">
        <v>1</v>
      </c>
    </row>
    <row r="12" spans="1:23">
      <c r="A12" s="4" t="s">
        <v>35</v>
      </c>
    </row>
    <row r="13" spans="1:23">
      <c r="A13" s="3" t="s">
        <v>36</v>
      </c>
      <c r="B13" s="37" t="s">
        <v>23</v>
      </c>
      <c r="E13" s="7"/>
    </row>
    <row r="14" spans="1:23">
      <c r="A14" s="2" t="s">
        <v>37</v>
      </c>
      <c r="B14" s="62" t="s">
        <v>25</v>
      </c>
    </row>
    <row r="15" spans="1:23">
      <c r="T15" s="45"/>
    </row>
    <row r="16" spans="1:23">
      <c r="T16" s="6"/>
    </row>
    <row r="17" spans="1:3">
      <c r="A17" s="4" t="s">
        <v>21</v>
      </c>
      <c r="B17" s="46"/>
      <c r="C17" s="46"/>
    </row>
    <row r="18" spans="1:3">
      <c r="A18" t="s">
        <v>38</v>
      </c>
      <c r="B18" s="65" t="s">
        <v>39</v>
      </c>
      <c r="C18" s="46"/>
    </row>
    <row r="19" spans="1:3">
      <c r="A19" t="s">
        <v>24</v>
      </c>
      <c r="B19" s="2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9C7B-AD6F-0341-8216-C9B7BC9580B4}">
  <dimension ref="A1:W19"/>
  <sheetViews>
    <sheetView tabSelected="1" topLeftCell="A2" zoomScale="93" workbookViewId="0">
      <selection activeCell="D16" sqref="D16"/>
    </sheetView>
  </sheetViews>
  <sheetFormatPr defaultColWidth="11" defaultRowHeight="15.95"/>
  <cols>
    <col min="1" max="1" width="14.5" customWidth="1"/>
    <col min="2" max="2" width="16.125" customWidth="1"/>
    <col min="3" max="3" width="14.5" customWidth="1"/>
    <col min="4" max="4" width="15.375" customWidth="1"/>
    <col min="5" max="5" width="13" customWidth="1"/>
    <col min="7" max="7" width="13.125" customWidth="1"/>
    <col min="11" max="11" width="15.875" customWidth="1"/>
    <col min="14" max="14" width="16.375" customWidth="1"/>
  </cols>
  <sheetData>
    <row r="1" spans="1:23">
      <c r="A1" s="6"/>
      <c r="B1" s="6"/>
      <c r="C1" s="6"/>
      <c r="D1" s="6"/>
      <c r="E1" s="6"/>
      <c r="F1" s="6"/>
      <c r="G1" s="6"/>
      <c r="H1" s="30"/>
      <c r="I1" s="31" t="s">
        <v>41</v>
      </c>
      <c r="J1" s="31"/>
      <c r="K1" s="6"/>
      <c r="L1" s="6"/>
      <c r="M1" s="6"/>
      <c r="N1" s="32" t="s">
        <v>29</v>
      </c>
      <c r="O1" s="33" t="s">
        <v>30</v>
      </c>
      <c r="P1" s="6"/>
      <c r="Q1" s="6"/>
      <c r="R1" s="43"/>
      <c r="S1" s="6"/>
      <c r="T1" s="6"/>
      <c r="U1" s="6"/>
      <c r="V1" s="43"/>
      <c r="W1" s="6"/>
    </row>
    <row r="2" spans="1:23">
      <c r="A2" s="34" t="s">
        <v>0</v>
      </c>
      <c r="B2" s="22" t="s">
        <v>4</v>
      </c>
      <c r="C2" s="22" t="s">
        <v>5</v>
      </c>
      <c r="D2" s="22" t="s">
        <v>6</v>
      </c>
      <c r="E2" s="6"/>
      <c r="F2" s="22" t="s">
        <v>7</v>
      </c>
      <c r="G2" s="22" t="s">
        <v>8</v>
      </c>
      <c r="H2" s="22" t="s">
        <v>9</v>
      </c>
      <c r="I2" s="6"/>
      <c r="J2" s="22" t="s">
        <v>7</v>
      </c>
      <c r="K2" s="22" t="s">
        <v>8</v>
      </c>
      <c r="L2" s="22" t="s">
        <v>9</v>
      </c>
      <c r="M2" s="6"/>
      <c r="N2" s="6"/>
      <c r="O2" s="6"/>
      <c r="P2" s="6"/>
      <c r="Q2" s="6"/>
      <c r="R2" s="44"/>
      <c r="S2" s="6"/>
      <c r="T2" s="6"/>
      <c r="U2" s="6"/>
      <c r="V2" s="44"/>
      <c r="W2" s="6"/>
    </row>
    <row r="3" spans="1:23">
      <c r="A3" s="34"/>
      <c r="B3" s="6"/>
      <c r="C3" s="6"/>
      <c r="D3" s="6"/>
      <c r="E3" s="6"/>
      <c r="F3" s="6"/>
      <c r="G3" s="37" t="s">
        <v>39</v>
      </c>
      <c r="H3" s="6"/>
      <c r="I3" s="6"/>
      <c r="J3" s="6"/>
      <c r="K3" s="36" t="s">
        <v>40</v>
      </c>
      <c r="L3" s="6"/>
      <c r="M3" s="6"/>
      <c r="N3" s="6"/>
      <c r="O3" s="6"/>
      <c r="P3" s="6"/>
      <c r="Q3" s="22"/>
      <c r="R3" s="22"/>
      <c r="S3" s="22"/>
      <c r="T3" s="6"/>
      <c r="U3" s="22"/>
      <c r="V3" s="22"/>
      <c r="W3" s="22"/>
    </row>
    <row r="4" spans="1:23">
      <c r="A4" s="6"/>
      <c r="B4" s="6"/>
      <c r="C4" s="6"/>
      <c r="D4" s="6"/>
      <c r="E4" s="6"/>
      <c r="F4" s="38">
        <v>4</v>
      </c>
      <c r="G4" s="39">
        <v>0.33</v>
      </c>
      <c r="H4" s="39">
        <v>3</v>
      </c>
      <c r="I4" s="6"/>
      <c r="J4" s="40">
        <v>0.5</v>
      </c>
      <c r="K4" s="41">
        <v>1.5</v>
      </c>
      <c r="L4" s="42">
        <v>2.5</v>
      </c>
      <c r="M4" s="6"/>
      <c r="N4" s="6"/>
      <c r="O4" s="6"/>
      <c r="P4" s="6"/>
      <c r="Q4" s="45"/>
      <c r="R4" s="45"/>
      <c r="S4" s="45"/>
      <c r="T4" s="6"/>
      <c r="U4" s="45"/>
      <c r="V4" s="45"/>
      <c r="W4" s="45"/>
    </row>
    <row r="5" spans="1:23">
      <c r="A5" s="58" t="s">
        <v>15</v>
      </c>
      <c r="B5" s="58">
        <v>1</v>
      </c>
      <c r="C5" s="58">
        <v>2</v>
      </c>
      <c r="D5" s="58">
        <v>3</v>
      </c>
      <c r="E5" s="6"/>
      <c r="F5" s="6"/>
      <c r="G5" s="6">
        <f>ABS(B5-F4)+ABS(C5-G4)+ABS(D5-H4)</f>
        <v>4.67</v>
      </c>
      <c r="H5" s="6"/>
      <c r="I5" s="6"/>
      <c r="J5" s="6"/>
      <c r="K5" s="6">
        <f>ABS(B5-J4)+ABS(C5-K4)+ABS(D5-L4)</f>
        <v>1.5</v>
      </c>
      <c r="L5" s="6"/>
      <c r="M5" s="6"/>
      <c r="N5" s="32">
        <v>2</v>
      </c>
      <c r="O5" s="60">
        <v>2</v>
      </c>
      <c r="P5" s="6"/>
      <c r="Q5" s="6"/>
      <c r="R5" s="6"/>
      <c r="S5" s="6"/>
      <c r="T5" s="6"/>
      <c r="U5" s="6"/>
      <c r="V5" s="6"/>
      <c r="W5" s="6"/>
    </row>
    <row r="6" spans="1:23">
      <c r="A6" s="58" t="s">
        <v>16</v>
      </c>
      <c r="B6" s="58">
        <v>0</v>
      </c>
      <c r="C6" s="58">
        <v>1</v>
      </c>
      <c r="D6" s="58">
        <v>2</v>
      </c>
      <c r="E6" s="6"/>
      <c r="F6" s="6"/>
      <c r="G6" s="6">
        <f>ABS(B6-F4)+ABS(C6-G4)+ABS(D6-H4)</f>
        <v>5.67</v>
      </c>
      <c r="H6" s="6"/>
      <c r="I6" s="6"/>
      <c r="J6" s="6"/>
      <c r="K6" s="6">
        <f>ABS(B6-J4)+ABS(C6-K4)+ABS(D6-L4)</f>
        <v>1.5</v>
      </c>
      <c r="L6" s="6"/>
      <c r="M6" s="6"/>
      <c r="N6" s="53">
        <v>2</v>
      </c>
      <c r="O6" s="61">
        <v>2</v>
      </c>
      <c r="P6" s="6"/>
      <c r="Q6" s="6"/>
      <c r="R6" s="6"/>
      <c r="S6" s="6"/>
      <c r="T6" s="6"/>
      <c r="U6" s="6"/>
      <c r="V6" s="6"/>
      <c r="W6" s="6"/>
    </row>
    <row r="7" spans="1:23">
      <c r="A7" s="58" t="s">
        <v>17</v>
      </c>
      <c r="B7" s="58">
        <v>3</v>
      </c>
      <c r="C7" s="58">
        <v>0</v>
      </c>
      <c r="D7" s="58">
        <v>5</v>
      </c>
      <c r="E7" s="6"/>
      <c r="F7" s="6"/>
      <c r="G7" s="6">
        <f>ABS(B7-F4)+ABS(C7-G4)+ABS(D7-H4)</f>
        <v>3.33</v>
      </c>
      <c r="H7" s="6"/>
      <c r="I7" s="6"/>
      <c r="J7" s="6"/>
      <c r="K7">
        <f>ABS(B7-J4)+ABS(C7-K4)+ABS(D7-L4)</f>
        <v>6.5</v>
      </c>
      <c r="L7" s="6"/>
      <c r="M7" s="6"/>
      <c r="N7" s="54">
        <v>1</v>
      </c>
      <c r="O7" s="59">
        <v>1</v>
      </c>
      <c r="P7" s="6"/>
      <c r="Q7" s="6"/>
      <c r="R7" s="6"/>
      <c r="S7" s="6"/>
      <c r="T7" s="6"/>
      <c r="U7" s="6"/>
      <c r="V7" s="6"/>
      <c r="W7" s="6"/>
    </row>
    <row r="8" spans="1:23">
      <c r="A8" s="58" t="s">
        <v>18</v>
      </c>
      <c r="B8" s="58">
        <v>4</v>
      </c>
      <c r="C8" s="58">
        <v>1</v>
      </c>
      <c r="D8" s="58">
        <v>3</v>
      </c>
      <c r="E8" s="6"/>
      <c r="F8" s="6"/>
      <c r="G8" s="6">
        <f>ABS(B8-F4)+ABS(C8-G4)+ABS(D8-H4)</f>
        <v>0.66999999999999993</v>
      </c>
      <c r="H8" s="6"/>
      <c r="I8" s="6"/>
      <c r="J8" s="6"/>
      <c r="K8" s="6">
        <f>ABS(B8-J4)+ABS(C8-K4)+ABS(D8-L4)</f>
        <v>4.5</v>
      </c>
      <c r="L8" s="6"/>
      <c r="M8" s="6"/>
      <c r="N8" s="54">
        <v>1</v>
      </c>
      <c r="O8" s="59">
        <v>1</v>
      </c>
      <c r="P8" s="6"/>
      <c r="Q8" s="6"/>
      <c r="R8" s="6"/>
      <c r="S8" s="6"/>
      <c r="T8" s="6"/>
      <c r="U8" s="6"/>
      <c r="V8" s="6"/>
      <c r="W8" s="6"/>
    </row>
    <row r="9" spans="1:23">
      <c r="A9" s="58" t="s">
        <v>19</v>
      </c>
      <c r="B9" s="58">
        <v>5</v>
      </c>
      <c r="C9" s="58">
        <v>0</v>
      </c>
      <c r="D9" s="58">
        <v>1</v>
      </c>
      <c r="E9" s="6"/>
      <c r="F9" s="6"/>
      <c r="G9" s="6">
        <f>ABS(B9-F4)+ABS(C9-G4)+ABS(D9-H4)</f>
        <v>3.33</v>
      </c>
      <c r="H9" s="6"/>
      <c r="I9" s="6"/>
      <c r="J9" s="6"/>
      <c r="K9" s="6">
        <f>ABS(B9-J4)+ABS(C9-K4)+ABS(D9-L4)</f>
        <v>7.5</v>
      </c>
      <c r="L9" s="6"/>
      <c r="M9" s="6"/>
      <c r="N9" s="54">
        <v>1</v>
      </c>
      <c r="O9" s="59">
        <v>1</v>
      </c>
      <c r="P9" s="6"/>
      <c r="Q9" s="6"/>
      <c r="R9" s="6"/>
      <c r="S9" s="6"/>
      <c r="T9" s="6"/>
      <c r="U9" s="6"/>
      <c r="V9" s="6"/>
      <c r="W9" s="6"/>
    </row>
    <row r="10" spans="1:2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35" t="s">
        <v>35</v>
      </c>
      <c r="B12" s="3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38" t="s">
        <v>36</v>
      </c>
      <c r="B13" s="63" t="s">
        <v>42</v>
      </c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51" t="s">
        <v>37</v>
      </c>
      <c r="B14" s="36" t="s">
        <v>43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3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55AF-068E-4545-829F-55C450DD9EAA}">
  <dimension ref="A1:B4"/>
  <sheetViews>
    <sheetView workbookViewId="0">
      <selection activeCell="B5" sqref="B5"/>
    </sheetView>
  </sheetViews>
  <sheetFormatPr defaultColWidth="11" defaultRowHeight="15.95"/>
  <sheetData>
    <row r="1" spans="1:2">
      <c r="B1" s="8" t="s">
        <v>44</v>
      </c>
    </row>
    <row r="2" spans="1:2">
      <c r="A2" t="s">
        <v>45</v>
      </c>
      <c r="B2">
        <v>5</v>
      </c>
    </row>
    <row r="3" spans="1:2">
      <c r="A3" t="s">
        <v>46</v>
      </c>
      <c r="B3">
        <v>5</v>
      </c>
    </row>
    <row r="4" spans="1:2">
      <c r="A4" t="s">
        <v>47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2023-03-22T15:16:39Z</dcterms:created>
  <dcterms:modified xsi:type="dcterms:W3CDTF">2025-04-26T01:32:55Z</dcterms:modified>
  <cp:category/>
  <cp:contentStatus/>
</cp:coreProperties>
</file>