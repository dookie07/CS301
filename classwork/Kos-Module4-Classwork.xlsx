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tecalderon/Library/CloudStorage/GoogleDrive-nc535@njit.edu/My Drive/NJIT/spring2025/cs301/classwork/"/>
    </mc:Choice>
  </mc:AlternateContent>
  <xr:revisionPtr revIDLastSave="0" documentId="8_{9B330C94-6627-0E48-B003-FCF436F8D162}" xr6:coauthVersionLast="47" xr6:coauthVersionMax="47" xr10:uidLastSave="{00000000-0000-0000-0000-000000000000}"/>
  <bookViews>
    <workbookView xWindow="67960" yWindow="-2660" windowWidth="19420" windowHeight="11500" xr2:uid="{04296DBC-4117-EC46-ADA4-446A932B71B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H26" i="2"/>
  <c r="H27" i="2"/>
  <c r="H28" i="2"/>
  <c r="H24" i="2"/>
  <c r="G28" i="2"/>
  <c r="D29" i="2"/>
  <c r="G25" i="2"/>
  <c r="G26" i="2"/>
  <c r="G27" i="2"/>
  <c r="G24" i="2"/>
  <c r="C26" i="2"/>
  <c r="C27" i="2"/>
  <c r="C28" i="2"/>
  <c r="C25" i="2"/>
  <c r="C24" i="2"/>
  <c r="B30" i="2"/>
  <c r="B31" i="2"/>
  <c r="C38" i="2"/>
  <c r="H29" i="2" l="1"/>
  <c r="B33" i="2" s="1"/>
  <c r="B34" i="2" s="1"/>
  <c r="B38" i="2" s="1"/>
  <c r="D24" i="2"/>
  <c r="D28" i="2"/>
  <c r="D26" i="2"/>
  <c r="D27" i="2"/>
  <c r="D25" i="2"/>
</calcChain>
</file>

<file path=xl/sharedStrings.xml><?xml version="1.0" encoding="utf-8"?>
<sst xmlns="http://schemas.openxmlformats.org/spreadsheetml/2006/main" count="17" uniqueCount="17">
  <si>
    <t>Advertising</t>
  </si>
  <si>
    <t>Sales</t>
  </si>
  <si>
    <t>Can we predict sales based on money spent for advertising?</t>
  </si>
  <si>
    <t>Money Spent (X)</t>
  </si>
  <si>
    <t>Sales(Y)</t>
  </si>
  <si>
    <t>SLOPE = SUM(XY) / SUM(XX)</t>
  </si>
  <si>
    <t>Y-Intercept = Avg(Y) - (slope*AVG(X))</t>
  </si>
  <si>
    <t>Advertising : 3,500</t>
  </si>
  <si>
    <t>Sales?</t>
  </si>
  <si>
    <t>Mean(X) - X</t>
  </si>
  <si>
    <t>(Mean(X)-X)^2</t>
  </si>
  <si>
    <t>Mean(Y)-Y</t>
  </si>
  <si>
    <t>(Mean(X)-X) * (Mean(Y)-Y))</t>
  </si>
  <si>
    <t>Mean(X)</t>
  </si>
  <si>
    <t>Mean(Y)</t>
  </si>
  <si>
    <t xml:space="preserve"> Sum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</si>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</sst>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4" fillId="0" borderId="0" xfId="0" applyFont="1"/>
    <xf numFmtId="164" fontId="4" fillId="0" borderId="0" xfId="1" applyNumberFormat="1" applyFont="1"/>
    <xf numFmtId="164" fontId="5" fillId="0" borderId="0" xfId="1" applyNumberFormat="1" applyFont="1"/>
    <xf numFmtId="165" fontId="5" fillId="0" borderId="0" xfId="1" applyNumberFormat="1" applyFont="1"/>
    <xf numFmtId="0" fontId="5" fillId="0" borderId="0" xfId="0" applyFont="1"/>
    <xf numFmtId="43" fontId="5" fillId="0" borderId="0" xfId="0" applyNumberFormat="1" applyFont="1"/>
    <xf numFmtId="0" fontId="5" fillId="0" borderId="0" xfId="0" applyFont="1" applyAlignment="1">
      <alignment horizontal="right"/>
    </xf>
    <xf numFmtId="164" fontId="5" fillId="0" borderId="0" xfId="1" applyNumberFormat="1" applyFont="1" applyAlignment="1">
      <alignment horizontal="right"/>
    </xf>
    <xf numFmtId="0" fontId="3" fillId="0" borderId="0" xfId="0" applyFont="1"/>
    <xf numFmtId="43" fontId="0" fillId="0" borderId="0" xfId="1" applyFont="1"/>
    <xf numFmtId="0" fontId="6" fillId="0" borderId="0" xfId="0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5</xdr:row>
      <xdr:rowOff>25400</xdr:rowOff>
    </xdr:from>
    <xdr:to>
      <xdr:col>3</xdr:col>
      <xdr:colOff>354276</xdr:colOff>
      <xdr:row>20</xdr:row>
      <xdr:rowOff>2199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B3BB8A-B4A6-9EBE-4500-85C346BCF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1409700"/>
          <a:ext cx="6616700" cy="373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80AD-59AF-4D45-AFDE-8DF4BD80EE71}">
  <dimension ref="A1:J52"/>
  <sheetViews>
    <sheetView tabSelected="1" topLeftCell="A16" zoomScale="76" zoomScaleNormal="163" workbookViewId="0">
      <selection activeCell="D41" sqref="D41"/>
    </sheetView>
  </sheetViews>
  <sheetFormatPr baseColWidth="10" defaultColWidth="10.6640625" defaultRowHeight="16" x14ac:dyDescent="0.2"/>
  <cols>
    <col min="1" max="1" width="32.1640625" customWidth="1"/>
    <col min="2" max="3" width="25.33203125" customWidth="1"/>
    <col min="4" max="5" width="14" customWidth="1"/>
    <col min="6" max="8" width="25.33203125" customWidth="1"/>
    <col min="9" max="9" width="12.83203125" customWidth="1"/>
    <col min="10" max="10" width="25.33203125" customWidth="1"/>
  </cols>
  <sheetData>
    <row r="1" spans="1:7" ht="21" x14ac:dyDescent="0.25">
      <c r="A1" s="1" t="s">
        <v>2</v>
      </c>
    </row>
    <row r="3" spans="1:7" ht="24" x14ac:dyDescent="0.3">
      <c r="A3" s="2" t="s">
        <v>0</v>
      </c>
      <c r="B3" s="3">
        <v>2000</v>
      </c>
      <c r="C3" s="3">
        <v>3000</v>
      </c>
      <c r="D3" s="3">
        <v>4000</v>
      </c>
      <c r="E3" s="3"/>
      <c r="F3" s="3">
        <v>2500</v>
      </c>
      <c r="G3" s="4">
        <v>5000</v>
      </c>
    </row>
    <row r="4" spans="1:7" ht="24" x14ac:dyDescent="0.3">
      <c r="A4" s="5" t="s">
        <v>1</v>
      </c>
      <c r="B4" s="6">
        <v>5000</v>
      </c>
      <c r="C4" s="6">
        <v>10000</v>
      </c>
      <c r="D4" s="6">
        <v>15000</v>
      </c>
      <c r="E4" s="6"/>
      <c r="F4" s="6">
        <v>8000</v>
      </c>
      <c r="G4" s="7">
        <v>25000</v>
      </c>
    </row>
    <row r="5" spans="1:7" ht="24" x14ac:dyDescent="0.3">
      <c r="A5" s="16"/>
      <c r="B5" s="16"/>
      <c r="C5" s="16"/>
      <c r="D5" s="16"/>
      <c r="E5" s="16"/>
      <c r="F5" s="16"/>
      <c r="G5" s="16"/>
    </row>
    <row r="6" spans="1:7" ht="24" x14ac:dyDescent="0.3">
      <c r="A6" s="16"/>
      <c r="B6" s="16"/>
      <c r="C6" s="16"/>
      <c r="D6" s="16"/>
      <c r="E6" s="16"/>
      <c r="F6" s="16"/>
      <c r="G6" s="16"/>
    </row>
    <row r="7" spans="1:7" ht="24" x14ac:dyDescent="0.3">
      <c r="A7" s="16"/>
      <c r="B7" s="16"/>
      <c r="C7" s="16"/>
      <c r="D7" s="16"/>
      <c r="E7" s="16"/>
      <c r="F7" s="16"/>
      <c r="G7" s="16"/>
    </row>
    <row r="8" spans="1:7" ht="24" x14ac:dyDescent="0.3">
      <c r="A8" s="16"/>
      <c r="B8" s="16"/>
      <c r="C8" s="16"/>
      <c r="D8" s="16"/>
      <c r="E8" s="16"/>
      <c r="F8" s="16"/>
      <c r="G8" s="16"/>
    </row>
    <row r="9" spans="1:7" ht="24" x14ac:dyDescent="0.3">
      <c r="A9" s="16"/>
      <c r="B9" s="16"/>
      <c r="C9" s="16"/>
      <c r="D9" s="16"/>
      <c r="E9" s="16"/>
      <c r="F9" s="16"/>
      <c r="G9" s="16"/>
    </row>
    <row r="10" spans="1:7" ht="24" x14ac:dyDescent="0.3">
      <c r="A10" s="16"/>
      <c r="B10" s="16"/>
      <c r="C10" s="16"/>
      <c r="D10" s="16"/>
      <c r="E10" s="16"/>
      <c r="F10" s="16"/>
      <c r="G10" s="16"/>
    </row>
    <row r="11" spans="1:7" ht="24" x14ac:dyDescent="0.3">
      <c r="A11" s="16"/>
      <c r="B11" s="16"/>
      <c r="C11" s="16"/>
      <c r="D11" s="16"/>
      <c r="E11" s="16"/>
      <c r="F11" s="16"/>
      <c r="G11" s="16"/>
    </row>
    <row r="12" spans="1:7" ht="24" x14ac:dyDescent="0.3">
      <c r="A12" s="16"/>
      <c r="B12" s="16"/>
      <c r="C12" s="16"/>
      <c r="D12" s="16"/>
      <c r="E12" s="16"/>
      <c r="F12" s="16"/>
      <c r="G12" s="16"/>
    </row>
    <row r="23" spans="1:8" x14ac:dyDescent="0.2">
      <c r="B23" t="s">
        <v>3</v>
      </c>
      <c r="C23" t="s">
        <v>9</v>
      </c>
      <c r="D23" t="s">
        <v>10</v>
      </c>
      <c r="F23" t="s">
        <v>4</v>
      </c>
      <c r="G23" t="s">
        <v>11</v>
      </c>
      <c r="H23" t="s">
        <v>12</v>
      </c>
    </row>
    <row r="24" spans="1:8" x14ac:dyDescent="0.2">
      <c r="B24">
        <v>2000</v>
      </c>
      <c r="C24">
        <f>B30-B24</f>
        <v>1300</v>
      </c>
      <c r="D24">
        <f>C24*C24</f>
        <v>1690000</v>
      </c>
      <c r="F24">
        <v>5000</v>
      </c>
      <c r="G24">
        <f>12600-F24</f>
        <v>7600</v>
      </c>
      <c r="H24">
        <f>C24*G24</f>
        <v>9880000</v>
      </c>
    </row>
    <row r="25" spans="1:8" x14ac:dyDescent="0.2">
      <c r="B25">
        <v>3000</v>
      </c>
      <c r="C25">
        <f>3300-B25</f>
        <v>300</v>
      </c>
      <c r="D25">
        <f t="shared" ref="D25:D28" si="0">C25*C25</f>
        <v>90000</v>
      </c>
      <c r="F25">
        <v>10000</v>
      </c>
      <c r="G25">
        <f t="shared" ref="G25:G27" si="1">12600-F25</f>
        <v>2600</v>
      </c>
      <c r="H25">
        <f t="shared" ref="H25:H28" si="2">C25*G25</f>
        <v>780000</v>
      </c>
    </row>
    <row r="26" spans="1:8" x14ac:dyDescent="0.2">
      <c r="B26">
        <v>4000</v>
      </c>
      <c r="C26">
        <f t="shared" ref="C26:C28" si="3">3300-B26</f>
        <v>-700</v>
      </c>
      <c r="D26">
        <f t="shared" si="0"/>
        <v>490000</v>
      </c>
      <c r="F26">
        <v>15000</v>
      </c>
      <c r="G26">
        <f t="shared" si="1"/>
        <v>-2400</v>
      </c>
      <c r="H26">
        <f t="shared" si="2"/>
        <v>1680000</v>
      </c>
    </row>
    <row r="27" spans="1:8" x14ac:dyDescent="0.2">
      <c r="B27">
        <v>2500</v>
      </c>
      <c r="C27">
        <f t="shared" si="3"/>
        <v>800</v>
      </c>
      <c r="D27">
        <f t="shared" si="0"/>
        <v>640000</v>
      </c>
      <c r="F27">
        <v>8000</v>
      </c>
      <c r="G27">
        <f t="shared" si="1"/>
        <v>4600</v>
      </c>
      <c r="H27">
        <f t="shared" si="2"/>
        <v>3680000</v>
      </c>
    </row>
    <row r="28" spans="1:8" x14ac:dyDescent="0.2">
      <c r="B28">
        <v>5000</v>
      </c>
      <c r="C28">
        <f t="shared" si="3"/>
        <v>-1700</v>
      </c>
      <c r="D28">
        <f t="shared" si="0"/>
        <v>2890000</v>
      </c>
      <c r="F28">
        <v>25000</v>
      </c>
      <c r="G28">
        <f>12600-F28</f>
        <v>-12400</v>
      </c>
      <c r="H28">
        <f t="shared" si="2"/>
        <v>21080000</v>
      </c>
    </row>
    <row r="29" spans="1:8" x14ac:dyDescent="0.2">
      <c r="C29" s="19" t="s">
        <v>15</v>
      </c>
      <c r="D29" s="17">
        <f>SUM(D24:D28)</f>
        <v>5800000</v>
      </c>
      <c r="G29" s="19" t="s">
        <v>16</v>
      </c>
      <c r="H29" s="17">
        <f>SUM(H24:H28)</f>
        <v>37100000</v>
      </c>
    </row>
    <row r="30" spans="1:8" x14ac:dyDescent="0.2">
      <c r="A30" s="18" t="s">
        <v>13</v>
      </c>
      <c r="B30" s="18">
        <f>SUM(B24:B28)/5</f>
        <v>3300</v>
      </c>
    </row>
    <row r="31" spans="1:8" x14ac:dyDescent="0.2">
      <c r="A31" s="18" t="s">
        <v>14</v>
      </c>
      <c r="B31" s="18">
        <f>SUM(F24:F28)/5</f>
        <v>12600</v>
      </c>
    </row>
    <row r="33" spans="1:10" x14ac:dyDescent="0.2">
      <c r="A33" t="s">
        <v>5</v>
      </c>
      <c r="B33">
        <f>H29/D29</f>
        <v>6.3965517241379306</v>
      </c>
    </row>
    <row r="34" spans="1:10" x14ac:dyDescent="0.2">
      <c r="A34" t="s">
        <v>6</v>
      </c>
      <c r="B34">
        <f>B31-(B33*B30)</f>
        <v>-8508.6206896551703</v>
      </c>
    </row>
    <row r="36" spans="1:10" s="8" customFormat="1" ht="19" x14ac:dyDescent="0.25">
      <c r="A36" s="8" t="s">
        <v>7</v>
      </c>
      <c r="B36" s="8">
        <v>4000</v>
      </c>
      <c r="C36" s="9"/>
      <c r="D36" s="9"/>
      <c r="E36" s="9"/>
      <c r="F36" s="9"/>
      <c r="G36" s="9"/>
      <c r="H36" s="9"/>
      <c r="J36" s="9"/>
    </row>
    <row r="37" spans="1:10" ht="19" x14ac:dyDescent="0.25">
      <c r="A37" s="12"/>
      <c r="B37" s="10"/>
      <c r="C37" s="10"/>
      <c r="D37" s="10"/>
      <c r="E37" s="10"/>
      <c r="F37" s="10"/>
      <c r="G37" s="10"/>
      <c r="H37" s="10"/>
      <c r="I37" s="12"/>
      <c r="J37" s="10"/>
    </row>
    <row r="38" spans="1:10" ht="19" x14ac:dyDescent="0.25">
      <c r="A38" s="8" t="s">
        <v>8</v>
      </c>
      <c r="B38" s="10">
        <f>B34+(B33*B36)</f>
        <v>17077.586206896551</v>
      </c>
      <c r="C38" s="10">
        <f>(C33*3500)+C34</f>
        <v>0</v>
      </c>
      <c r="D38" s="10"/>
      <c r="E38" s="10"/>
      <c r="F38" s="10"/>
      <c r="G38" s="10"/>
      <c r="H38" s="10"/>
      <c r="I38" s="12"/>
      <c r="J38" s="10"/>
    </row>
    <row r="39" spans="1:10" ht="19" x14ac:dyDescent="0.25">
      <c r="A39" s="12"/>
      <c r="B39" s="10"/>
      <c r="C39" s="10"/>
      <c r="D39" s="10"/>
      <c r="E39" s="10"/>
      <c r="F39" s="10"/>
      <c r="G39" s="10"/>
      <c r="H39" s="10"/>
      <c r="I39" s="12"/>
      <c r="J39" s="10"/>
    </row>
    <row r="40" spans="1:10" ht="19" x14ac:dyDescent="0.25">
      <c r="A40" s="12"/>
      <c r="B40" s="10"/>
      <c r="C40" s="10"/>
      <c r="D40" s="10"/>
      <c r="E40" s="10"/>
      <c r="F40" s="10"/>
      <c r="G40" s="10"/>
      <c r="H40" s="10"/>
      <c r="I40" s="12"/>
      <c r="J40" s="10"/>
    </row>
    <row r="41" spans="1:10" ht="19" x14ac:dyDescent="0.25">
      <c r="A41" s="12"/>
      <c r="B41" s="10"/>
      <c r="C41" s="10"/>
      <c r="D41" s="10"/>
      <c r="E41" s="10"/>
      <c r="F41" s="10"/>
      <c r="G41" s="10"/>
      <c r="H41" s="10"/>
      <c r="I41" s="12"/>
      <c r="J41" s="10"/>
    </row>
    <row r="42" spans="1:10" ht="19" x14ac:dyDescent="0.25">
      <c r="A42" s="12"/>
      <c r="B42" s="10"/>
      <c r="C42" s="10"/>
      <c r="D42" s="10"/>
      <c r="E42" s="10"/>
      <c r="F42" s="10"/>
      <c r="G42" s="10"/>
      <c r="H42" s="10"/>
      <c r="I42" s="12"/>
      <c r="J42" s="10"/>
    </row>
    <row r="43" spans="1:10" ht="19" x14ac:dyDescent="0.25">
      <c r="A43" s="14"/>
      <c r="B43" s="10"/>
      <c r="C43" s="10"/>
      <c r="D43" s="10"/>
      <c r="E43" s="10"/>
      <c r="F43" s="15"/>
      <c r="G43" s="10"/>
      <c r="H43" s="10"/>
      <c r="I43" s="12"/>
      <c r="J43" s="10"/>
    </row>
    <row r="44" spans="1:10" ht="19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ht="19" x14ac:dyDescent="0.25">
      <c r="A45" s="12"/>
      <c r="B45" s="12"/>
      <c r="C45" s="10"/>
      <c r="D45" s="15"/>
      <c r="E45" s="15"/>
      <c r="F45" s="10"/>
      <c r="G45" s="10"/>
      <c r="H45" s="10"/>
      <c r="I45" s="14"/>
      <c r="J45" s="10"/>
    </row>
    <row r="47" spans="1:10" ht="19" x14ac:dyDescent="0.25">
      <c r="A47" s="8"/>
      <c r="C47" s="10"/>
      <c r="D47" s="11"/>
      <c r="E47" s="11"/>
    </row>
    <row r="48" spans="1:10" ht="19" x14ac:dyDescent="0.25">
      <c r="A48" s="8"/>
      <c r="C48" s="12"/>
      <c r="D48" s="13"/>
      <c r="E48" s="13"/>
    </row>
    <row r="52" spans="1:5" s="12" customFormat="1" ht="19" x14ac:dyDescent="0.25">
      <c r="A52" s="8"/>
      <c r="C52"/>
      <c r="D52" s="13"/>
      <c r="E52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Renda</dc:creator>
  <cp:lastModifiedBy>Nathaly Kos</cp:lastModifiedBy>
  <dcterms:created xsi:type="dcterms:W3CDTF">2023-09-11T21:30:49Z</dcterms:created>
  <dcterms:modified xsi:type="dcterms:W3CDTF">2025-02-20T19:45:05Z</dcterms:modified>
</cp:coreProperties>
</file>